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isez-moi" sheetId="1" state="visible" r:id="rId3"/>
    <sheet name="Produits" sheetId="2" state="visible" r:id="rId4"/>
    <sheet name="Paramètres" sheetId="3" state="visible" r:id="rId5"/>
    <sheet name="Finitions" sheetId="4" state="visible" r:id="rId6"/>
  </sheets>
  <definedNames>
    <definedName function="false" hidden="true" localSheetId="1" name="_xlnm._FilterDatabase" vbProcedure="false">Produits!$A$1:$R$82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1" authorId="0">
      <text>
        <r>
          <rPr>
            <sz val="10"/>
            <rFont val="Arial"/>
            <family val="2"/>
          </rPr>
          <t xml:space="preserve">Arrondi au ,99 supérieur du prix TTC calculé (colonne J), jamais en dessous.</t>
        </r>
      </text>
    </comment>
    <comment ref="O53" authorId="0">
      <text>
        <r>
          <rPr>
            <sz val="10"/>
            <rFont val="Arial"/>
            <family val="2"/>
          </rPr>
          <t xml:space="preserve">Prix fixé manuellement à 0,49 € TTC (demande de Laurent, 6/10/2026).</t>
        </r>
      </text>
    </comment>
    <comment ref="O59" authorId="0">
      <text>
        <r>
          <rPr>
            <sz val="10"/>
            <rFont val="Arial"/>
            <family val="2"/>
          </rPr>
          <t xml:space="preserve">Prix fixé manuellement à 0,49 € TTC (demande de Laurent, 6/10/2026).</t>
        </r>
      </text>
    </comment>
    <comment ref="R1" authorId="0">
      <text>
        <r>
          <rPr>
            <sz val="10"/>
            <rFont val="Arial"/>
            <family val="2"/>
          </rPr>
          <t xml:space="preserve">5 pour le plus petit sticker (5 cm), 1 pour les autres produits.</t>
        </r>
      </text>
    </comment>
  </commentList>
</comments>
</file>

<file path=xl/sharedStrings.xml><?xml version="1.0" encoding="utf-8"?>
<sst xmlns="http://schemas.openxmlformats.org/spreadsheetml/2006/main" count="375" uniqueCount="173">
  <si>
    <t xml:space="preserve">Artaluz — Grille tarifaire à compléter</t>
  </si>
  <si>
    <t xml:space="preserve">Remplissez uniquement les cellules jaunes (Prix HT, suppléments HT).</t>
  </si>
  <si>
    <t xml:space="preserve">Les prix TTC et les surfaces se calculent automatiquement.</t>
  </si>
  <si>
    <t xml:space="preserve">Les formats sont une proposition : ajoutez, supprimez ou modifiez des lignes librement.</t>
  </si>
  <si>
    <t xml:space="preserve">Le taux de TVA est réglable dans l'onglet Paramètres (20 % par défaut, hypothèse France).</t>
  </si>
  <si>
    <t xml:space="preserve">Exemple de saisie (fictif) :</t>
  </si>
  <si>
    <t xml:space="preserve">Bâche 200 × 100 cm → Prix HT : 89,00 → Prix TTC calculé : 106,80</t>
  </si>
  <si>
    <t xml:space="preserve">Réf</t>
  </si>
  <si>
    <t xml:space="preserve">Support</t>
  </si>
  <si>
    <t xml:space="preserve">Format</t>
  </si>
  <si>
    <t xml:space="preserve">Largeur (cm)</t>
  </si>
  <si>
    <t xml:space="preserve">Hauteur (cm)</t>
  </si>
  <si>
    <t xml:space="preserve">Surface (m²)</t>
  </si>
  <si>
    <t xml:space="preserve">PRHT</t>
  </si>
  <si>
    <t xml:space="preserve">Coeff Marge</t>
  </si>
  <si>
    <t xml:space="preserve">Prix HT (€)</t>
  </si>
  <si>
    <t xml:space="preserve">Prix TTC (€)</t>
  </si>
  <si>
    <t xml:space="preserve">Commission artiste</t>
  </si>
  <si>
    <t xml:space="preserve">Marge Artaluz</t>
  </si>
  <si>
    <t xml:space="preserve">Marge en %</t>
  </si>
  <si>
    <t xml:space="preserve">Remarques</t>
  </si>
  <si>
    <t xml:space="preserve">Prix TTC final (€)</t>
  </si>
  <si>
    <t xml:space="preserve">Prix HT final (€)</t>
  </si>
  <si>
    <t xml:space="preserve">Commission artiste finale (€)</t>
  </si>
  <si>
    <t xml:space="preserve">Qté minimum</t>
  </si>
  <si>
    <t xml:space="preserve">BAC-01</t>
  </si>
  <si>
    <t xml:space="preserve">Bâche qualité éco</t>
  </si>
  <si>
    <t xml:space="preserve">100 × 50 cm</t>
  </si>
  <si>
    <t xml:space="preserve">BAC-02</t>
  </si>
  <si>
    <t xml:space="preserve">150 × 50 cm</t>
  </si>
  <si>
    <t xml:space="preserve">BAC-03</t>
  </si>
  <si>
    <t xml:space="preserve">200 × 50 cm</t>
  </si>
  <si>
    <t xml:space="preserve">BAC-04</t>
  </si>
  <si>
    <t xml:space="preserve">100 × 100 cm</t>
  </si>
  <si>
    <t xml:space="preserve">BAC-05</t>
  </si>
  <si>
    <t xml:space="preserve">150 × 100 cm</t>
  </si>
  <si>
    <t xml:space="preserve">BAC-06</t>
  </si>
  <si>
    <t xml:space="preserve">200 × 100 cm</t>
  </si>
  <si>
    <t xml:space="preserve">BAC-07</t>
  </si>
  <si>
    <t xml:space="preserve">250 × 100 cm</t>
  </si>
  <si>
    <t xml:space="preserve">BAC-08</t>
  </si>
  <si>
    <t xml:space="preserve">300 × 100 cm</t>
  </si>
  <si>
    <t xml:space="preserve">BAC-09</t>
  </si>
  <si>
    <t xml:space="preserve">100 × 130 cm</t>
  </si>
  <si>
    <t xml:space="preserve">BAC-10</t>
  </si>
  <si>
    <t xml:space="preserve">150 × 130 cm</t>
  </si>
  <si>
    <t xml:space="preserve">BAC-11</t>
  </si>
  <si>
    <t xml:space="preserve">200 × 130 cm</t>
  </si>
  <si>
    <t xml:space="preserve">BAC-12</t>
  </si>
  <si>
    <t xml:space="preserve">250 × 130 cm</t>
  </si>
  <si>
    <t xml:space="preserve">BAC-13</t>
  </si>
  <si>
    <t xml:space="preserve">300 × 130 cm</t>
  </si>
  <si>
    <t xml:space="preserve">BAC-14</t>
  </si>
  <si>
    <t xml:space="preserve">150 × 150 cm</t>
  </si>
  <si>
    <t xml:space="preserve">BAC-15</t>
  </si>
  <si>
    <t xml:space="preserve">200 × 150 cm</t>
  </si>
  <si>
    <t xml:space="preserve">BAC-16</t>
  </si>
  <si>
    <t xml:space="preserve">250 × 150 cm</t>
  </si>
  <si>
    <t xml:space="preserve">BAC-17</t>
  </si>
  <si>
    <t xml:space="preserve">300 × 150 cm</t>
  </si>
  <si>
    <t xml:space="preserve">BAC-18</t>
  </si>
  <si>
    <t xml:space="preserve">Bâche qualité standard</t>
  </si>
  <si>
    <t xml:space="preserve">BAC-19</t>
  </si>
  <si>
    <t xml:space="preserve">BAC-20</t>
  </si>
  <si>
    <t xml:space="preserve">BAC-21</t>
  </si>
  <si>
    <t xml:space="preserve">BAC-22</t>
  </si>
  <si>
    <t xml:space="preserve">BAC-23</t>
  </si>
  <si>
    <t xml:space="preserve">BAC-24</t>
  </si>
  <si>
    <t xml:space="preserve">BAC-25</t>
  </si>
  <si>
    <t xml:space="preserve">BAC-26</t>
  </si>
  <si>
    <t xml:space="preserve">BAC-27</t>
  </si>
  <si>
    <t xml:space="preserve">BAC-28</t>
  </si>
  <si>
    <t xml:space="preserve">BAC-29</t>
  </si>
  <si>
    <t xml:space="preserve">BAC-30</t>
  </si>
  <si>
    <t xml:space="preserve">BAC-31</t>
  </si>
  <si>
    <t xml:space="preserve">BAC-32</t>
  </si>
  <si>
    <t xml:space="preserve">BAC-33</t>
  </si>
  <si>
    <t xml:space="preserve">BAC-34</t>
  </si>
  <si>
    <t xml:space="preserve">BAC-35</t>
  </si>
  <si>
    <t xml:space="preserve">Bâche qualité supérieure</t>
  </si>
  <si>
    <t xml:space="preserve">BAC-36</t>
  </si>
  <si>
    <t xml:space="preserve">BAC-37</t>
  </si>
  <si>
    <t xml:space="preserve">BAC-38</t>
  </si>
  <si>
    <t xml:space="preserve">BAC-39</t>
  </si>
  <si>
    <t xml:space="preserve">BAC-40</t>
  </si>
  <si>
    <t xml:space="preserve">BAC-41</t>
  </si>
  <si>
    <t xml:space="preserve">BAC-42</t>
  </si>
  <si>
    <t xml:space="preserve">BAC-43</t>
  </si>
  <si>
    <t xml:space="preserve">BAC-44</t>
  </si>
  <si>
    <t xml:space="preserve">BAC-45</t>
  </si>
  <si>
    <t xml:space="preserve">BAC-46</t>
  </si>
  <si>
    <t xml:space="preserve">BAC-47</t>
  </si>
  <si>
    <t xml:space="preserve">BAC-48</t>
  </si>
  <si>
    <t xml:space="preserve">BAC-49</t>
  </si>
  <si>
    <t xml:space="preserve">BAC-50</t>
  </si>
  <si>
    <t xml:space="preserve">BAC-51</t>
  </si>
  <si>
    <t xml:space="preserve">STK-01</t>
  </si>
  <si>
    <t xml:space="preserve">Sticker brillant</t>
  </si>
  <si>
    <t xml:space="preserve">5 cm (plus grand côté)</t>
  </si>
  <si>
    <t xml:space="preserve">STK-02</t>
  </si>
  <si>
    <t xml:space="preserve">10 cm (plus grand côté)</t>
  </si>
  <si>
    <t xml:space="preserve">STK-03</t>
  </si>
  <si>
    <t xml:space="preserve">20 cm (plus grand côté)</t>
  </si>
  <si>
    <t xml:space="preserve">STK-04</t>
  </si>
  <si>
    <t xml:space="preserve">30 cm (plus grand côté)</t>
  </si>
  <si>
    <t xml:space="preserve">STK-05</t>
  </si>
  <si>
    <t xml:space="preserve">40 cm (plus grand côté)</t>
  </si>
  <si>
    <t xml:space="preserve">STK-06</t>
  </si>
  <si>
    <t xml:space="preserve">60 cm (plus grand côté)</t>
  </si>
  <si>
    <t xml:space="preserve">STK-07</t>
  </si>
  <si>
    <t xml:space="preserve">Sticker mat</t>
  </si>
  <si>
    <t xml:space="preserve">STK-08</t>
  </si>
  <si>
    <t xml:space="preserve">STK-09</t>
  </si>
  <si>
    <t xml:space="preserve">STK-10</t>
  </si>
  <si>
    <t xml:space="preserve">STK-11</t>
  </si>
  <si>
    <t xml:space="preserve">STK-12</t>
  </si>
  <si>
    <t xml:space="preserve">MAG-01</t>
  </si>
  <si>
    <t xml:space="preserve">Magnet mat</t>
  </si>
  <si>
    <t xml:space="preserve">MAG-02</t>
  </si>
  <si>
    <t xml:space="preserve">MAG-03</t>
  </si>
  <si>
    <t xml:space="preserve">MAG-04</t>
  </si>
  <si>
    <t xml:space="preserve">MAG-05</t>
  </si>
  <si>
    <t xml:space="preserve">MAG-06</t>
  </si>
  <si>
    <t xml:space="preserve">POS-01</t>
  </si>
  <si>
    <t xml:space="preserve">Poster</t>
  </si>
  <si>
    <t xml:space="preserve">A3</t>
  </si>
  <si>
    <t xml:space="preserve">POS-02</t>
  </si>
  <si>
    <t xml:space="preserve">A2</t>
  </si>
  <si>
    <t xml:space="preserve">POS-04</t>
  </si>
  <si>
    <t xml:space="preserve">40 × 60 cm</t>
  </si>
  <si>
    <t xml:space="preserve">POS-03</t>
  </si>
  <si>
    <t xml:space="preserve">50 × 70 cm</t>
  </si>
  <si>
    <t xml:space="preserve">POS-05</t>
  </si>
  <si>
    <t xml:space="preserve">60 × 90 cm</t>
  </si>
  <si>
    <t xml:space="preserve">ALU-01</t>
  </si>
  <si>
    <t xml:space="preserve">Tableau alu (Dibond)</t>
  </si>
  <si>
    <t xml:space="preserve">20 x 20 cm</t>
  </si>
  <si>
    <t xml:space="preserve">ALU-02</t>
  </si>
  <si>
    <t xml:space="preserve">20 x 30 cm</t>
  </si>
  <si>
    <t xml:space="preserve">ALU-03</t>
  </si>
  <si>
    <t xml:space="preserve">30 × 40 cm</t>
  </si>
  <si>
    <t xml:space="preserve">ALU-04</t>
  </si>
  <si>
    <t xml:space="preserve">ALU-05</t>
  </si>
  <si>
    <t xml:space="preserve">ALU-06</t>
  </si>
  <si>
    <t xml:space="preserve">80 × 120 cm</t>
  </si>
  <si>
    <t xml:space="preserve">ALU-07</t>
  </si>
  <si>
    <t xml:space="preserve">100 × 150 cm</t>
  </si>
  <si>
    <t xml:space="preserve">Sticker : dimensions = plus grand côté ; la découpe à la forme est une finition (onglet Finitions).</t>
  </si>
  <si>
    <t xml:space="preserve">Paramètre</t>
  </si>
  <si>
    <t xml:space="preserve">Valeur</t>
  </si>
  <si>
    <t xml:space="preserve">Taux de TVA</t>
  </si>
  <si>
    <t xml:space="preserve">Hypothèse : TVA française 20 % (ventes UE via OSS à traiter à part)</t>
  </si>
  <si>
    <t xml:space="preserve">Reference</t>
  </si>
  <si>
    <t xml:space="preserve">Finition</t>
  </si>
  <si>
    <t xml:space="preserve">Type</t>
  </si>
  <si>
    <t xml:space="preserve">Supplément HT (€)</t>
  </si>
  <si>
    <t xml:space="preserve">Bâche</t>
  </si>
  <si>
    <t xml:space="preserve">Œillets</t>
  </si>
  <si>
    <t xml:space="preserve">Oeuillets aluminium</t>
  </si>
  <si>
    <t xml:space="preserve">Tendeur crochet</t>
  </si>
  <si>
    <t xml:space="preserve">frame.board_châssis.15</t>
  </si>
  <si>
    <t xml:space="preserve">Système d'accroche au dos</t>
  </si>
  <si>
    <t xml:space="preserve">Barres aluminium</t>
  </si>
  <si>
    <t xml:space="preserve">frame.board_châssis.16</t>
  </si>
  <si>
    <t xml:space="preserve">frame.board_châssis.17</t>
  </si>
  <si>
    <t xml:space="preserve">frame.board_châssis.18</t>
  </si>
  <si>
    <t xml:space="preserve">frame.board_châssis.19</t>
  </si>
  <si>
    <t xml:space="preserve">frame.board_châssis.20</t>
  </si>
  <si>
    <t xml:space="preserve">frame.board_châssis.21</t>
  </si>
  <si>
    <t xml:space="preserve">ALU-01frame.board_L25 - BLANC</t>
  </si>
  <si>
    <t xml:space="preserve">Cadre aluminium blanc</t>
  </si>
  <si>
    <t xml:space="preserve">ALU-01frame.board_L25 - NOIR</t>
  </si>
  <si>
    <t xml:space="preserve">Cadre aluminium noir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</si>
</sst>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#,##0.00&quot; €&quot;"/>
    <numFmt numFmtId="167" formatCode="0.00%"/>
    <numFmt numFmtId="168" formatCode="0"/>
    <numFmt numFmtId="169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sz val="1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0000FF"/>
      <name val="Arial"/>
      <family val="2"/>
      <charset val="1"/>
    </font>
    <font>
      <sz val="10"/>
      <name val="Arial"/>
      <family val="2"/>
      <charset val="1"/>
    </font>
    <font>
      <sz val="11"/>
      <color rgb="FF0000FF"/>
      <name val="Arial"/>
      <family val="0"/>
      <charset val="1"/>
    </font>
    <font>
      <i val="true"/>
      <sz val="11"/>
      <color rgb="FF595959"/>
      <name val="Arial"/>
      <family val="2"/>
      <charset val="1"/>
    </font>
    <font>
      <sz val="10"/>
      <name val="Arial"/>
      <family val="2"/>
    </font>
    <font>
      <u val="single"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tectex.fr/cadres-pour-plaques/492-frameboardchassis15.html" TargetMode="External"/><Relationship Id="rId2" Type="http://schemas.openxmlformats.org/officeDocument/2006/relationships/hyperlink" Target="https://www.tectex.fr/cadres-pour-plaques/492-frameboardchassis15.html" TargetMode="External"/><Relationship Id="rId3" Type="http://schemas.openxmlformats.org/officeDocument/2006/relationships/hyperlink" Target="https://www.tectex.fr/cadres-pour-plaques/492-frameboardchassis15.html" TargetMode="External"/><Relationship Id="rId4" Type="http://schemas.openxmlformats.org/officeDocument/2006/relationships/hyperlink" Target="https://www.tectex.fr/cadres-pour-plaques/492-frameboardchassis15.html" TargetMode="External"/><Relationship Id="rId5" Type="http://schemas.openxmlformats.org/officeDocument/2006/relationships/hyperlink" Target="https://www.tectex.fr/cadres-pour-plaques/492-frameboardchassis15.html" TargetMode="External"/><Relationship Id="rId6" Type="http://schemas.openxmlformats.org/officeDocument/2006/relationships/hyperlink" Target="https://www.tectex.fr/cadres-pour-plaques/492-frameboardchassis15.html" TargetMode="External"/><Relationship Id="rId7" Type="http://schemas.openxmlformats.org/officeDocument/2006/relationships/hyperlink" Target="https://www.tectex.fr/cadres-pour-plaques/492-frameboardchassis15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95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/>
    </row>
    <row r="8" customFormat="false" ht="15" hidden="false" customHeight="true" outlineLevel="0" collapsed="false">
      <c r="A8" s="4" t="s">
        <v>5</v>
      </c>
    </row>
    <row r="9" customFormat="false" ht="15" hidden="false" customHeight="true" outlineLevel="0" collapsed="false">
      <c r="A9" s="3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47" activePane="bottomLeft" state="frozen"/>
      <selection pane="topLeft" activeCell="A1" activeCellId="0" sqref="A1"/>
      <selection pane="bottomLeft" activeCell="H63" activeCellId="0" sqref="H63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26"/>
    <col collapsed="false" customWidth="true" hidden="false" outlineLevel="0" max="5" min="4" style="1" width="13"/>
    <col collapsed="false" customWidth="true" hidden="false" outlineLevel="0" max="6" min="6" style="1" width="17.83"/>
    <col collapsed="false" customWidth="true" hidden="false" outlineLevel="0" max="8" min="7" style="1" width="13"/>
    <col collapsed="false" customWidth="true" hidden="false" outlineLevel="0" max="13" min="9" style="1" width="14"/>
    <col collapsed="false" customWidth="true" hidden="false" outlineLevel="0" max="14" min="14" style="1" width="40"/>
    <col collapsed="false" customWidth="true" hidden="false" outlineLevel="0" max="18" min="15" style="1" width="16"/>
  </cols>
  <sheetData>
    <row r="1" customFormat="false" ht="30" hidden="false" customHeight="true" outlineLevel="0" collapsed="false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  <c r="J1" s="5" t="s">
        <v>16</v>
      </c>
      <c r="K1" s="5" t="s">
        <v>17</v>
      </c>
      <c r="L1" s="5" t="s">
        <v>18</v>
      </c>
      <c r="M1" s="5" t="s">
        <v>19</v>
      </c>
      <c r="N1" s="5" t="s">
        <v>20</v>
      </c>
      <c r="O1" s="5" t="s">
        <v>21</v>
      </c>
      <c r="P1" s="5" t="s">
        <v>22</v>
      </c>
      <c r="Q1" s="5" t="s">
        <v>23</v>
      </c>
      <c r="R1" s="5" t="s">
        <v>24</v>
      </c>
    </row>
    <row r="2" customFormat="false" ht="15" hidden="false" customHeight="true" outlineLevel="0" collapsed="false">
      <c r="A2" s="6" t="s">
        <v>25</v>
      </c>
      <c r="B2" s="6" t="s">
        <v>26</v>
      </c>
      <c r="C2" s="6" t="s">
        <v>27</v>
      </c>
      <c r="D2" s="7" t="n">
        <v>100</v>
      </c>
      <c r="E2" s="7" t="n">
        <v>50</v>
      </c>
      <c r="F2" s="8" t="n">
        <f aca="false">D2*E2/10000</f>
        <v>0.5</v>
      </c>
      <c r="G2" s="9" t="n">
        <f aca="false">(F2*1.2*1.76+F2*1.28)</f>
        <v>1.696</v>
      </c>
      <c r="H2" s="8" t="n">
        <v>15</v>
      </c>
      <c r="I2" s="1" t="n">
        <f aca="false">G2*H2</f>
        <v>25.44</v>
      </c>
      <c r="J2" s="10" t="n">
        <f aca="false">IF(I2="","",I2*(1+Paramètres!$B$2))</f>
        <v>30.528</v>
      </c>
      <c r="K2" s="10" t="n">
        <f aca="false">I2*0.1</f>
        <v>2.544</v>
      </c>
      <c r="L2" s="10" t="n">
        <f aca="false">I2-K2-G2</f>
        <v>21.2</v>
      </c>
      <c r="M2" s="11" t="n">
        <f aca="false">L2/I2</f>
        <v>0.833333333333333</v>
      </c>
      <c r="N2" s="6"/>
      <c r="O2" s="10" t="n">
        <f aca="false">IF(J2="","",ROUNDUP(J2+0.01,0)-0.01)</f>
        <v>30.99</v>
      </c>
      <c r="P2" s="10" t="n">
        <f aca="false">IF(O2="","",O2/(1+Paramètres!$B$2))</f>
        <v>25.825</v>
      </c>
      <c r="Q2" s="10" t="n">
        <f aca="false">IF(P2="","",P2*0.1)</f>
        <v>2.5825</v>
      </c>
      <c r="R2" s="12" t="n">
        <v>1</v>
      </c>
    </row>
    <row r="3" customFormat="false" ht="15" hidden="false" customHeight="true" outlineLevel="0" collapsed="false">
      <c r="A3" s="6" t="s">
        <v>28</v>
      </c>
      <c r="B3" s="6" t="s">
        <v>26</v>
      </c>
      <c r="C3" s="6" t="s">
        <v>29</v>
      </c>
      <c r="D3" s="7" t="n">
        <v>150</v>
      </c>
      <c r="E3" s="7" t="n">
        <v>50</v>
      </c>
      <c r="F3" s="8" t="n">
        <f aca="false">D3*E3/10000</f>
        <v>0.75</v>
      </c>
      <c r="G3" s="9" t="n">
        <f aca="false">(F3*1.2*1.76+F3*1.28)</f>
        <v>2.544</v>
      </c>
      <c r="H3" s="8" t="n">
        <f aca="false">H2</f>
        <v>15</v>
      </c>
      <c r="I3" s="1" t="n">
        <f aca="false">G3*H3</f>
        <v>38.16</v>
      </c>
      <c r="J3" s="10" t="n">
        <f aca="false">IF(I3="","",I3*(1+Paramètres!$B$2))</f>
        <v>45.792</v>
      </c>
      <c r="K3" s="10" t="n">
        <f aca="false">I3*0.1</f>
        <v>3.816</v>
      </c>
      <c r="L3" s="10" t="n">
        <f aca="false">I3-K3-G3</f>
        <v>31.8</v>
      </c>
      <c r="M3" s="11" t="n">
        <f aca="false">L3/I3</f>
        <v>0.833333333333333</v>
      </c>
      <c r="N3" s="6"/>
      <c r="O3" s="10" t="n">
        <f aca="false">IF(J3="","",ROUNDUP(J3+0.01,0)-0.01)</f>
        <v>45.99</v>
      </c>
      <c r="P3" s="10" t="n">
        <f aca="false">IF(O3="","",O3/(1+Paramètres!$B$2))</f>
        <v>38.325</v>
      </c>
      <c r="Q3" s="10" t="n">
        <f aca="false">IF(P3="","",P3*0.1)</f>
        <v>3.8325</v>
      </c>
      <c r="R3" s="12" t="n">
        <v>1</v>
      </c>
    </row>
    <row r="4" customFormat="false" ht="15" hidden="false" customHeight="true" outlineLevel="0" collapsed="false">
      <c r="A4" s="6" t="s">
        <v>30</v>
      </c>
      <c r="B4" s="6" t="s">
        <v>26</v>
      </c>
      <c r="C4" s="6" t="s">
        <v>31</v>
      </c>
      <c r="D4" s="7" t="n">
        <v>200</v>
      </c>
      <c r="E4" s="7" t="n">
        <v>50</v>
      </c>
      <c r="F4" s="8" t="n">
        <f aca="false">D4*E4/10000</f>
        <v>1</v>
      </c>
      <c r="G4" s="9" t="n">
        <f aca="false">(F4*1.2*1.76+F4*1.28)</f>
        <v>3.392</v>
      </c>
      <c r="H4" s="8" t="n">
        <f aca="false">H3</f>
        <v>15</v>
      </c>
      <c r="I4" s="1" t="n">
        <f aca="false">G4*H4</f>
        <v>50.88</v>
      </c>
      <c r="J4" s="10" t="n">
        <f aca="false">IF(I4="","",I4*(1+Paramètres!$B$2))</f>
        <v>61.056</v>
      </c>
      <c r="K4" s="10" t="n">
        <f aca="false">I4*0.1</f>
        <v>5.088</v>
      </c>
      <c r="L4" s="10" t="n">
        <f aca="false">I4-K4-G4</f>
        <v>42.4</v>
      </c>
      <c r="M4" s="11" t="n">
        <f aca="false">L4/I4</f>
        <v>0.833333333333333</v>
      </c>
      <c r="N4" s="6"/>
      <c r="O4" s="10" t="n">
        <f aca="false">IF(J4="","",ROUNDUP(J4+0.01,0)-0.01)</f>
        <v>61.99</v>
      </c>
      <c r="P4" s="10" t="n">
        <f aca="false">IF(O4="","",O4/(1+Paramètres!$B$2))</f>
        <v>51.6583333333333</v>
      </c>
      <c r="Q4" s="10" t="n">
        <f aca="false">IF(P4="","",P4*0.1)</f>
        <v>5.16583333333333</v>
      </c>
      <c r="R4" s="12" t="n">
        <v>1</v>
      </c>
    </row>
    <row r="5" customFormat="false" ht="15" hidden="false" customHeight="true" outlineLevel="0" collapsed="false">
      <c r="A5" s="6" t="s">
        <v>32</v>
      </c>
      <c r="B5" s="6" t="s">
        <v>26</v>
      </c>
      <c r="C5" s="6" t="s">
        <v>33</v>
      </c>
      <c r="D5" s="7" t="n">
        <v>100</v>
      </c>
      <c r="E5" s="7" t="n">
        <v>100</v>
      </c>
      <c r="F5" s="8" t="n">
        <f aca="false">D5*E5/10000</f>
        <v>1</v>
      </c>
      <c r="G5" s="9" t="n">
        <f aca="false">(F5*1.2*1.76+F5*1.28)</f>
        <v>3.392</v>
      </c>
      <c r="H5" s="8" t="n">
        <f aca="false">H4</f>
        <v>15</v>
      </c>
      <c r="I5" s="1" t="n">
        <f aca="false">G5*H5</f>
        <v>50.88</v>
      </c>
      <c r="J5" s="10" t="n">
        <f aca="false">IF(I5="","",I5*(1+Paramètres!$B$2))</f>
        <v>61.056</v>
      </c>
      <c r="K5" s="10" t="n">
        <f aca="false">I5*0.1</f>
        <v>5.088</v>
      </c>
      <c r="L5" s="10" t="n">
        <f aca="false">I5-K5-G5</f>
        <v>42.4</v>
      </c>
      <c r="M5" s="11" t="n">
        <f aca="false">L5/I5</f>
        <v>0.833333333333333</v>
      </c>
      <c r="N5" s="6"/>
      <c r="O5" s="10" t="n">
        <f aca="false">IF(J5="","",ROUNDUP(J5+0.01,0)-0.01)</f>
        <v>61.99</v>
      </c>
      <c r="P5" s="10" t="n">
        <f aca="false">IF(O5="","",O5/(1+Paramètres!$B$2))</f>
        <v>51.6583333333333</v>
      </c>
      <c r="Q5" s="10" t="n">
        <f aca="false">IF(P5="","",P5*0.1)</f>
        <v>5.16583333333333</v>
      </c>
      <c r="R5" s="12" t="n">
        <v>1</v>
      </c>
    </row>
    <row r="6" customFormat="false" ht="15" hidden="false" customHeight="true" outlineLevel="0" collapsed="false">
      <c r="A6" s="6" t="s">
        <v>34</v>
      </c>
      <c r="B6" s="6" t="s">
        <v>26</v>
      </c>
      <c r="C6" s="6" t="s">
        <v>35</v>
      </c>
      <c r="D6" s="7" t="n">
        <v>150</v>
      </c>
      <c r="E6" s="7" t="n">
        <v>100</v>
      </c>
      <c r="F6" s="8" t="n">
        <f aca="false">D6*E6/10000</f>
        <v>1.5</v>
      </c>
      <c r="G6" s="9" t="n">
        <f aca="false">(F6*1.2*1.76+F6*1.28)</f>
        <v>5.088</v>
      </c>
      <c r="H6" s="8" t="n">
        <f aca="false">H5</f>
        <v>15</v>
      </c>
      <c r="I6" s="1" t="n">
        <f aca="false">G6*H6</f>
        <v>76.32</v>
      </c>
      <c r="J6" s="10" t="n">
        <f aca="false">IF(I6="","",I6*(1+Paramètres!$B$2))</f>
        <v>91.584</v>
      </c>
      <c r="K6" s="10" t="n">
        <f aca="false">I6*0.1</f>
        <v>7.632</v>
      </c>
      <c r="L6" s="10" t="n">
        <f aca="false">I6-K6-G6</f>
        <v>63.6</v>
      </c>
      <c r="M6" s="11" t="n">
        <f aca="false">L6/I6</f>
        <v>0.833333333333333</v>
      </c>
      <c r="N6" s="6"/>
      <c r="O6" s="10" t="n">
        <f aca="false">IF(J6="","",ROUNDUP(J6+0.01,0)-0.01)</f>
        <v>91.99</v>
      </c>
      <c r="P6" s="10" t="n">
        <f aca="false">IF(O6="","",O6/(1+Paramètres!$B$2))</f>
        <v>76.6583333333333</v>
      </c>
      <c r="Q6" s="10" t="n">
        <f aca="false">IF(P6="","",P6*0.1)</f>
        <v>7.66583333333333</v>
      </c>
      <c r="R6" s="12" t="n">
        <v>1</v>
      </c>
    </row>
    <row r="7" customFormat="false" ht="15" hidden="false" customHeight="true" outlineLevel="0" collapsed="false">
      <c r="A7" s="6" t="s">
        <v>36</v>
      </c>
      <c r="B7" s="6" t="s">
        <v>26</v>
      </c>
      <c r="C7" s="6" t="s">
        <v>37</v>
      </c>
      <c r="D7" s="7" t="n">
        <v>200</v>
      </c>
      <c r="E7" s="7" t="n">
        <v>100</v>
      </c>
      <c r="F7" s="8" t="n">
        <f aca="false">D7*E7/10000</f>
        <v>2</v>
      </c>
      <c r="G7" s="9" t="n">
        <f aca="false">(F7*1.2*1.76+F7*1.28)</f>
        <v>6.784</v>
      </c>
      <c r="H7" s="8" t="n">
        <f aca="false">H6</f>
        <v>15</v>
      </c>
      <c r="I7" s="1" t="n">
        <f aca="false">G7*H7</f>
        <v>101.76</v>
      </c>
      <c r="J7" s="10" t="n">
        <f aca="false">IF(I7="","",I7*(1+Paramètres!$B$2))</f>
        <v>122.112</v>
      </c>
      <c r="K7" s="10" t="n">
        <f aca="false">I7*0.1</f>
        <v>10.176</v>
      </c>
      <c r="L7" s="10" t="n">
        <f aca="false">I7-K7-G7</f>
        <v>84.8</v>
      </c>
      <c r="M7" s="11" t="n">
        <f aca="false">L7/I7</f>
        <v>0.833333333333333</v>
      </c>
      <c r="N7" s="6"/>
      <c r="O7" s="10" t="n">
        <f aca="false">IF(J7="","",ROUNDUP(J7+0.01,0)-0.01)</f>
        <v>122.99</v>
      </c>
      <c r="P7" s="10" t="n">
        <f aca="false">IF(O7="","",O7/(1+Paramètres!$B$2))</f>
        <v>102.491666666667</v>
      </c>
      <c r="Q7" s="10" t="n">
        <f aca="false">IF(P7="","",P7*0.1)</f>
        <v>10.2491666666667</v>
      </c>
      <c r="R7" s="12" t="n">
        <v>1</v>
      </c>
    </row>
    <row r="8" customFormat="false" ht="15" hidden="false" customHeight="true" outlineLevel="0" collapsed="false">
      <c r="A8" s="6" t="s">
        <v>38</v>
      </c>
      <c r="B8" s="6" t="s">
        <v>26</v>
      </c>
      <c r="C8" s="6" t="s">
        <v>39</v>
      </c>
      <c r="D8" s="7" t="n">
        <v>250</v>
      </c>
      <c r="E8" s="7" t="n">
        <v>100</v>
      </c>
      <c r="F8" s="8" t="n">
        <f aca="false">D8*E8/10000</f>
        <v>2.5</v>
      </c>
      <c r="G8" s="9" t="n">
        <f aca="false">(F8*1.2*1.76+F8*1.28)</f>
        <v>8.48</v>
      </c>
      <c r="H8" s="8" t="n">
        <f aca="false">H7</f>
        <v>15</v>
      </c>
      <c r="I8" s="1" t="n">
        <f aca="false">G8*H8</f>
        <v>127.2</v>
      </c>
      <c r="J8" s="10" t="n">
        <f aca="false">IF(I8="","",I8*(1+Paramètres!$B$2))</f>
        <v>152.64</v>
      </c>
      <c r="K8" s="10" t="n">
        <f aca="false">I8*0.1</f>
        <v>12.72</v>
      </c>
      <c r="L8" s="10" t="n">
        <f aca="false">I8-K8-G8</f>
        <v>106</v>
      </c>
      <c r="M8" s="11" t="n">
        <f aca="false">L8/I8</f>
        <v>0.833333333333333</v>
      </c>
      <c r="N8" s="6"/>
      <c r="O8" s="10" t="n">
        <f aca="false">IF(J8="","",ROUNDUP(J8+0.01,0)-0.01)</f>
        <v>152.99</v>
      </c>
      <c r="P8" s="10" t="n">
        <f aca="false">IF(O8="","",O8/(1+Paramètres!$B$2))</f>
        <v>127.491666666667</v>
      </c>
      <c r="Q8" s="10" t="n">
        <f aca="false">IF(P8="","",P8*0.1)</f>
        <v>12.7491666666667</v>
      </c>
      <c r="R8" s="12" t="n">
        <v>1</v>
      </c>
    </row>
    <row r="9" customFormat="false" ht="15" hidden="false" customHeight="true" outlineLevel="0" collapsed="false">
      <c r="A9" s="6" t="s">
        <v>40</v>
      </c>
      <c r="B9" s="6" t="s">
        <v>26</v>
      </c>
      <c r="C9" s="6" t="s">
        <v>41</v>
      </c>
      <c r="D9" s="7" t="n">
        <v>300</v>
      </c>
      <c r="E9" s="7" t="n">
        <v>100</v>
      </c>
      <c r="F9" s="8" t="n">
        <f aca="false">D9*E9/10000</f>
        <v>3</v>
      </c>
      <c r="G9" s="9" t="n">
        <f aca="false">(F9*1.2*1.76+F9*1.28)</f>
        <v>10.176</v>
      </c>
      <c r="H9" s="8" t="n">
        <f aca="false">H8</f>
        <v>15</v>
      </c>
      <c r="I9" s="1" t="n">
        <f aca="false">G9*H9</f>
        <v>152.64</v>
      </c>
      <c r="J9" s="10" t="n">
        <f aca="false">IF(I9="","",I9*(1+Paramètres!$B$2))</f>
        <v>183.168</v>
      </c>
      <c r="K9" s="10" t="n">
        <f aca="false">I9*0.1</f>
        <v>15.264</v>
      </c>
      <c r="L9" s="10" t="n">
        <f aca="false">I9-K9-G9</f>
        <v>127.2</v>
      </c>
      <c r="M9" s="11" t="n">
        <f aca="false">L9/I9</f>
        <v>0.833333333333333</v>
      </c>
      <c r="N9" s="6"/>
      <c r="O9" s="10" t="n">
        <f aca="false">IF(J9="","",ROUNDUP(J9+0.01,0)-0.01)</f>
        <v>183.99</v>
      </c>
      <c r="P9" s="10" t="n">
        <f aca="false">IF(O9="","",O9/(1+Paramètres!$B$2))</f>
        <v>153.325</v>
      </c>
      <c r="Q9" s="10" t="n">
        <f aca="false">IF(P9="","",P9*0.1)</f>
        <v>15.3325</v>
      </c>
      <c r="R9" s="12" t="n">
        <v>1</v>
      </c>
    </row>
    <row r="10" customFormat="false" ht="15" hidden="false" customHeight="true" outlineLevel="0" collapsed="false">
      <c r="A10" s="6" t="s">
        <v>42</v>
      </c>
      <c r="B10" s="6" t="s">
        <v>26</v>
      </c>
      <c r="C10" s="6" t="s">
        <v>43</v>
      </c>
      <c r="D10" s="7" t="n">
        <v>100</v>
      </c>
      <c r="E10" s="7" t="n">
        <v>130</v>
      </c>
      <c r="F10" s="8" t="n">
        <f aca="false">D10*E10/10000</f>
        <v>1.3</v>
      </c>
      <c r="G10" s="9" t="n">
        <f aca="false">(F10*1.2*1.76+F10*1.28)</f>
        <v>4.4096</v>
      </c>
      <c r="H10" s="8" t="n">
        <f aca="false">H9</f>
        <v>15</v>
      </c>
      <c r="I10" s="1" t="n">
        <f aca="false">G10*H10</f>
        <v>66.144</v>
      </c>
      <c r="J10" s="10" t="n">
        <f aca="false">IF(I10="","",I10*(1+Paramètres!$B$2))</f>
        <v>79.3728</v>
      </c>
      <c r="K10" s="10" t="n">
        <f aca="false">I10*0.1</f>
        <v>6.6144</v>
      </c>
      <c r="L10" s="10" t="n">
        <f aca="false">I10-K10-G10</f>
        <v>55.12</v>
      </c>
      <c r="M10" s="11" t="n">
        <f aca="false">L10/I10</f>
        <v>0.833333333333333</v>
      </c>
      <c r="N10" s="6"/>
      <c r="O10" s="10" t="n">
        <f aca="false">IF(J10="","",ROUNDUP(J10+0.01,0)-0.01)</f>
        <v>79.99</v>
      </c>
      <c r="P10" s="10" t="n">
        <f aca="false">IF(O10="","",O10/(1+Paramètres!$B$2))</f>
        <v>66.6583333333333</v>
      </c>
      <c r="Q10" s="10" t="n">
        <f aca="false">IF(P10="","",P10*0.1)</f>
        <v>6.66583333333333</v>
      </c>
      <c r="R10" s="12" t="n">
        <v>1</v>
      </c>
    </row>
    <row r="11" customFormat="false" ht="15" hidden="false" customHeight="true" outlineLevel="0" collapsed="false">
      <c r="A11" s="6" t="s">
        <v>44</v>
      </c>
      <c r="B11" s="6" t="s">
        <v>26</v>
      </c>
      <c r="C11" s="6" t="s">
        <v>45</v>
      </c>
      <c r="D11" s="7" t="n">
        <v>150</v>
      </c>
      <c r="E11" s="7" t="n">
        <v>130</v>
      </c>
      <c r="F11" s="8" t="n">
        <f aca="false">D11*E11/10000</f>
        <v>1.95</v>
      </c>
      <c r="G11" s="9" t="n">
        <f aca="false">(F11*1.2*1.76+F11*1.28)</f>
        <v>6.6144</v>
      </c>
      <c r="H11" s="8" t="n">
        <f aca="false">H10</f>
        <v>15</v>
      </c>
      <c r="I11" s="1" t="n">
        <f aca="false">G11*H11</f>
        <v>99.216</v>
      </c>
      <c r="J11" s="10" t="n">
        <f aca="false">IF(I11="","",I11*(1+Paramètres!$B$2))</f>
        <v>119.0592</v>
      </c>
      <c r="K11" s="10" t="n">
        <f aca="false">I11*0.1</f>
        <v>9.9216</v>
      </c>
      <c r="L11" s="10" t="n">
        <f aca="false">I11-K11-G11</f>
        <v>82.68</v>
      </c>
      <c r="M11" s="11" t="n">
        <f aca="false">L11/I11</f>
        <v>0.833333333333333</v>
      </c>
      <c r="N11" s="6"/>
      <c r="O11" s="10" t="n">
        <f aca="false">IF(J11="","",ROUNDUP(J11+0.01,0)-0.01)</f>
        <v>119.99</v>
      </c>
      <c r="P11" s="10" t="n">
        <f aca="false">IF(O11="","",O11/(1+Paramètres!$B$2))</f>
        <v>99.9916666666667</v>
      </c>
      <c r="Q11" s="10" t="n">
        <f aca="false">IF(P11="","",P11*0.1)</f>
        <v>9.99916666666667</v>
      </c>
      <c r="R11" s="12" t="n">
        <v>1</v>
      </c>
    </row>
    <row r="12" customFormat="false" ht="15" hidden="false" customHeight="true" outlineLevel="0" collapsed="false">
      <c r="A12" s="6" t="s">
        <v>46</v>
      </c>
      <c r="B12" s="6" t="s">
        <v>26</v>
      </c>
      <c r="C12" s="6" t="s">
        <v>47</v>
      </c>
      <c r="D12" s="7" t="n">
        <v>200</v>
      </c>
      <c r="E12" s="7" t="n">
        <v>130</v>
      </c>
      <c r="F12" s="8" t="n">
        <f aca="false">D12*E12/10000</f>
        <v>2.6</v>
      </c>
      <c r="G12" s="9" t="n">
        <f aca="false">(F12*1.2*1.76+F12*1.28)</f>
        <v>8.8192</v>
      </c>
      <c r="H12" s="8" t="n">
        <f aca="false">H11</f>
        <v>15</v>
      </c>
      <c r="I12" s="1" t="n">
        <f aca="false">G12*H12</f>
        <v>132.288</v>
      </c>
      <c r="J12" s="10" t="n">
        <f aca="false">IF(I12="","",I12*(1+Paramètres!$B$2))</f>
        <v>158.7456</v>
      </c>
      <c r="K12" s="10" t="n">
        <f aca="false">I12*0.1</f>
        <v>13.2288</v>
      </c>
      <c r="L12" s="10" t="n">
        <f aca="false">I12-K12-G12</f>
        <v>110.24</v>
      </c>
      <c r="M12" s="11" t="n">
        <f aca="false">L12/I12</f>
        <v>0.833333333333333</v>
      </c>
      <c r="N12" s="6"/>
      <c r="O12" s="10" t="n">
        <f aca="false">IF(J12="","",ROUNDUP(J12+0.01,0)-0.01)</f>
        <v>158.99</v>
      </c>
      <c r="P12" s="10" t="n">
        <f aca="false">IF(O12="","",O12/(1+Paramètres!$B$2))</f>
        <v>132.491666666667</v>
      </c>
      <c r="Q12" s="10" t="n">
        <f aca="false">IF(P12="","",P12*0.1)</f>
        <v>13.2491666666667</v>
      </c>
      <c r="R12" s="12" t="n">
        <v>1</v>
      </c>
    </row>
    <row r="13" customFormat="false" ht="15" hidden="false" customHeight="true" outlineLevel="0" collapsed="false">
      <c r="A13" s="6" t="s">
        <v>48</v>
      </c>
      <c r="B13" s="6" t="s">
        <v>26</v>
      </c>
      <c r="C13" s="6" t="s">
        <v>49</v>
      </c>
      <c r="D13" s="7" t="n">
        <v>250</v>
      </c>
      <c r="E13" s="7" t="n">
        <v>130</v>
      </c>
      <c r="F13" s="8" t="n">
        <f aca="false">D13*E13/10000</f>
        <v>3.25</v>
      </c>
      <c r="G13" s="9" t="n">
        <f aca="false">(F13*1.2*1.76+F13*1.28)</f>
        <v>11.024</v>
      </c>
      <c r="H13" s="8" t="n">
        <f aca="false">H12</f>
        <v>15</v>
      </c>
      <c r="I13" s="1" t="n">
        <f aca="false">G13*H13</f>
        <v>165.36</v>
      </c>
      <c r="J13" s="10" t="n">
        <f aca="false">IF(I13="","",I13*(1+Paramètres!$B$2))</f>
        <v>198.432</v>
      </c>
      <c r="K13" s="10" t="n">
        <f aca="false">I13*0.1</f>
        <v>16.536</v>
      </c>
      <c r="L13" s="10" t="n">
        <f aca="false">I13-K13-G13</f>
        <v>137.8</v>
      </c>
      <c r="M13" s="11" t="n">
        <f aca="false">L13/I13</f>
        <v>0.833333333333333</v>
      </c>
      <c r="N13" s="6"/>
      <c r="O13" s="10" t="n">
        <f aca="false">IF(J13="","",ROUNDUP(J13+0.01,0)-0.01)</f>
        <v>198.99</v>
      </c>
      <c r="P13" s="10" t="n">
        <f aca="false">IF(O13="","",O13/(1+Paramètres!$B$2))</f>
        <v>165.825</v>
      </c>
      <c r="Q13" s="10" t="n">
        <f aca="false">IF(P13="","",P13*0.1)</f>
        <v>16.5825</v>
      </c>
      <c r="R13" s="12" t="n">
        <v>1</v>
      </c>
    </row>
    <row r="14" customFormat="false" ht="15" hidden="false" customHeight="true" outlineLevel="0" collapsed="false">
      <c r="A14" s="6" t="s">
        <v>50</v>
      </c>
      <c r="B14" s="6" t="s">
        <v>26</v>
      </c>
      <c r="C14" s="6" t="s">
        <v>51</v>
      </c>
      <c r="D14" s="7" t="n">
        <v>300</v>
      </c>
      <c r="E14" s="7" t="n">
        <v>130</v>
      </c>
      <c r="F14" s="8" t="n">
        <f aca="false">D14*E14/10000</f>
        <v>3.9</v>
      </c>
      <c r="G14" s="9" t="n">
        <f aca="false">(F14*1.2*1.76+F14*1.28)</f>
        <v>13.2288</v>
      </c>
      <c r="H14" s="8" t="n">
        <f aca="false">H13</f>
        <v>15</v>
      </c>
      <c r="I14" s="1" t="n">
        <f aca="false">G14*H14</f>
        <v>198.432</v>
      </c>
      <c r="J14" s="10" t="n">
        <f aca="false">IF(I14="","",I14*(1+Paramètres!$B$2))</f>
        <v>238.1184</v>
      </c>
      <c r="K14" s="10" t="n">
        <f aca="false">I14*0.1</f>
        <v>19.8432</v>
      </c>
      <c r="L14" s="10" t="n">
        <f aca="false">I14-K14-G14</f>
        <v>165.36</v>
      </c>
      <c r="M14" s="11" t="n">
        <f aca="false">L14/I14</f>
        <v>0.833333333333333</v>
      </c>
      <c r="N14" s="6"/>
      <c r="O14" s="10" t="n">
        <f aca="false">IF(J14="","",ROUNDUP(J14+0.01,0)-0.01)</f>
        <v>238.99</v>
      </c>
      <c r="P14" s="10" t="n">
        <f aca="false">IF(O14="","",O14/(1+Paramètres!$B$2))</f>
        <v>199.158333333333</v>
      </c>
      <c r="Q14" s="10" t="n">
        <f aca="false">IF(P14="","",P14*0.1)</f>
        <v>19.9158333333333</v>
      </c>
      <c r="R14" s="12" t="n">
        <v>1</v>
      </c>
    </row>
    <row r="15" customFormat="false" ht="15" hidden="false" customHeight="true" outlineLevel="0" collapsed="false">
      <c r="A15" s="6" t="s">
        <v>52</v>
      </c>
      <c r="B15" s="6" t="s">
        <v>26</v>
      </c>
      <c r="C15" s="6" t="s">
        <v>53</v>
      </c>
      <c r="D15" s="7" t="n">
        <v>150</v>
      </c>
      <c r="E15" s="7" t="n">
        <v>150</v>
      </c>
      <c r="F15" s="8" t="n">
        <f aca="false">D15*E15/10000</f>
        <v>2.25</v>
      </c>
      <c r="G15" s="9" t="n">
        <f aca="false">(F15*1.2*1.76+F15*1.28)</f>
        <v>7.632</v>
      </c>
      <c r="H15" s="8" t="n">
        <f aca="false">H14</f>
        <v>15</v>
      </c>
      <c r="I15" s="1" t="n">
        <f aca="false">G15*H15</f>
        <v>114.48</v>
      </c>
      <c r="J15" s="10" t="n">
        <f aca="false">IF(I15="","",I15*(1+Paramètres!$B$2))</f>
        <v>137.376</v>
      </c>
      <c r="K15" s="10" t="n">
        <f aca="false">I15*0.1</f>
        <v>11.448</v>
      </c>
      <c r="L15" s="10" t="n">
        <f aca="false">I15-K15-G15</f>
        <v>95.4</v>
      </c>
      <c r="M15" s="11" t="n">
        <f aca="false">L15/I15</f>
        <v>0.833333333333333</v>
      </c>
      <c r="N15" s="6"/>
      <c r="O15" s="10" t="n">
        <f aca="false">IF(J15="","",ROUNDUP(J15+0.01,0)-0.01)</f>
        <v>137.99</v>
      </c>
      <c r="P15" s="10" t="n">
        <f aca="false">IF(O15="","",O15/(1+Paramètres!$B$2))</f>
        <v>114.991666666667</v>
      </c>
      <c r="Q15" s="10" t="n">
        <f aca="false">IF(P15="","",P15*0.1)</f>
        <v>11.4991666666667</v>
      </c>
      <c r="R15" s="12" t="n">
        <v>1</v>
      </c>
    </row>
    <row r="16" customFormat="false" ht="15" hidden="false" customHeight="true" outlineLevel="0" collapsed="false">
      <c r="A16" s="6" t="s">
        <v>54</v>
      </c>
      <c r="B16" s="6" t="s">
        <v>26</v>
      </c>
      <c r="C16" s="6" t="s">
        <v>55</v>
      </c>
      <c r="D16" s="7" t="n">
        <v>200</v>
      </c>
      <c r="E16" s="7" t="n">
        <v>150</v>
      </c>
      <c r="F16" s="8" t="n">
        <f aca="false">D16*E16/10000</f>
        <v>3</v>
      </c>
      <c r="G16" s="9" t="n">
        <f aca="false">(F16*1.2*1.76+F16*1.28)</f>
        <v>10.176</v>
      </c>
      <c r="H16" s="8" t="n">
        <f aca="false">H15</f>
        <v>15</v>
      </c>
      <c r="I16" s="1" t="n">
        <f aca="false">G16*H16</f>
        <v>152.64</v>
      </c>
      <c r="J16" s="10" t="n">
        <f aca="false">IF(I16="","",I16*(1+Paramètres!$B$2))</f>
        <v>183.168</v>
      </c>
      <c r="K16" s="10" t="n">
        <f aca="false">I16*0.1</f>
        <v>15.264</v>
      </c>
      <c r="L16" s="10" t="n">
        <f aca="false">I16-K16-G16</f>
        <v>127.2</v>
      </c>
      <c r="M16" s="11" t="n">
        <f aca="false">L16/I16</f>
        <v>0.833333333333333</v>
      </c>
      <c r="N16" s="6"/>
      <c r="O16" s="10" t="n">
        <f aca="false">IF(J16="","",ROUNDUP(J16+0.01,0)-0.01)</f>
        <v>183.99</v>
      </c>
      <c r="P16" s="10" t="n">
        <f aca="false">IF(O16="","",O16/(1+Paramètres!$B$2))</f>
        <v>153.325</v>
      </c>
      <c r="Q16" s="10" t="n">
        <f aca="false">IF(P16="","",P16*0.1)</f>
        <v>15.3325</v>
      </c>
      <c r="R16" s="12" t="n">
        <v>1</v>
      </c>
    </row>
    <row r="17" customFormat="false" ht="15" hidden="false" customHeight="true" outlineLevel="0" collapsed="false">
      <c r="A17" s="6" t="s">
        <v>56</v>
      </c>
      <c r="B17" s="6" t="s">
        <v>26</v>
      </c>
      <c r="C17" s="6" t="s">
        <v>57</v>
      </c>
      <c r="D17" s="7" t="n">
        <v>250</v>
      </c>
      <c r="E17" s="7" t="n">
        <v>150</v>
      </c>
      <c r="F17" s="8" t="n">
        <f aca="false">D17*E17/10000</f>
        <v>3.75</v>
      </c>
      <c r="G17" s="9" t="n">
        <f aca="false">(F17*1.2*1.76+F17*1.28)</f>
        <v>12.72</v>
      </c>
      <c r="H17" s="8" t="n">
        <f aca="false">H16</f>
        <v>15</v>
      </c>
      <c r="I17" s="1" t="n">
        <f aca="false">G17*H17</f>
        <v>190.8</v>
      </c>
      <c r="J17" s="10" t="n">
        <f aca="false">IF(I17="","",I17*(1+Paramètres!$B$2))</f>
        <v>228.96</v>
      </c>
      <c r="K17" s="10" t="n">
        <f aca="false">I17*0.1</f>
        <v>19.08</v>
      </c>
      <c r="L17" s="10" t="n">
        <f aca="false">I17-K17-G17</f>
        <v>159</v>
      </c>
      <c r="M17" s="11" t="n">
        <f aca="false">L17/I17</f>
        <v>0.833333333333333</v>
      </c>
      <c r="N17" s="6"/>
      <c r="O17" s="10" t="n">
        <f aca="false">IF(J17="","",ROUNDUP(J17+0.01,0)-0.01)</f>
        <v>228.99</v>
      </c>
      <c r="P17" s="10" t="n">
        <f aca="false">IF(O17="","",O17/(1+Paramètres!$B$2))</f>
        <v>190.825</v>
      </c>
      <c r="Q17" s="10" t="n">
        <f aca="false">IF(P17="","",P17*0.1)</f>
        <v>19.0825</v>
      </c>
      <c r="R17" s="12" t="n">
        <v>1</v>
      </c>
    </row>
    <row r="18" customFormat="false" ht="15" hidden="false" customHeight="true" outlineLevel="0" collapsed="false">
      <c r="A18" s="6" t="s">
        <v>58</v>
      </c>
      <c r="B18" s="6" t="s">
        <v>26</v>
      </c>
      <c r="C18" s="6" t="s">
        <v>59</v>
      </c>
      <c r="D18" s="7" t="n">
        <v>300</v>
      </c>
      <c r="E18" s="7" t="n">
        <v>150</v>
      </c>
      <c r="F18" s="8" t="n">
        <f aca="false">D18*E18/10000</f>
        <v>4.5</v>
      </c>
      <c r="G18" s="9" t="n">
        <f aca="false">(F18*1.2*1.76+F18*1.28)</f>
        <v>15.264</v>
      </c>
      <c r="H18" s="8" t="n">
        <f aca="false">H17</f>
        <v>15</v>
      </c>
      <c r="I18" s="1" t="n">
        <f aca="false">G18*H18</f>
        <v>228.96</v>
      </c>
      <c r="J18" s="10" t="n">
        <f aca="false">IF(I18="","",I18*(1+Paramètres!$B$2))</f>
        <v>274.752</v>
      </c>
      <c r="K18" s="10" t="n">
        <f aca="false">I18*0.1</f>
        <v>22.896</v>
      </c>
      <c r="L18" s="10" t="n">
        <f aca="false">I18-K18-G18</f>
        <v>190.8</v>
      </c>
      <c r="M18" s="11" t="n">
        <f aca="false">L18/I18</f>
        <v>0.833333333333333</v>
      </c>
      <c r="N18" s="6"/>
      <c r="O18" s="10" t="n">
        <f aca="false">IF(J18="","",ROUNDUP(J18+0.01,0)-0.01)</f>
        <v>274.99</v>
      </c>
      <c r="P18" s="10" t="n">
        <f aca="false">IF(O18="","",O18/(1+Paramètres!$B$2))</f>
        <v>229.158333333333</v>
      </c>
      <c r="Q18" s="10" t="n">
        <f aca="false">IF(P18="","",P18*0.1)</f>
        <v>22.9158333333333</v>
      </c>
      <c r="R18" s="12" t="n">
        <v>1</v>
      </c>
    </row>
    <row r="19" customFormat="false" ht="15" hidden="false" customHeight="true" outlineLevel="0" collapsed="false">
      <c r="A19" s="6" t="s">
        <v>60</v>
      </c>
      <c r="B19" s="6" t="s">
        <v>61</v>
      </c>
      <c r="C19" s="6" t="s">
        <v>27</v>
      </c>
      <c r="D19" s="7" t="n">
        <v>100</v>
      </c>
      <c r="E19" s="7" t="n">
        <v>50</v>
      </c>
      <c r="F19" s="8" t="n">
        <f aca="false">D19*E19/10000</f>
        <v>0.5</v>
      </c>
      <c r="G19" s="9" t="n">
        <f aca="false">(F19*1.2*2.4+F19*1.28)</f>
        <v>2.08</v>
      </c>
      <c r="H19" s="8" t="n">
        <f aca="false">H18</f>
        <v>15</v>
      </c>
      <c r="I19" s="1" t="n">
        <f aca="false">G19*H19</f>
        <v>31.2</v>
      </c>
      <c r="J19" s="10" t="n">
        <f aca="false">IF(I19="","",I19*(1+Paramètres!$B$2))</f>
        <v>37.44</v>
      </c>
      <c r="K19" s="10" t="n">
        <f aca="false">I19*0.1</f>
        <v>3.12</v>
      </c>
      <c r="L19" s="10" t="n">
        <f aca="false">I19-K19-G19</f>
        <v>26</v>
      </c>
      <c r="M19" s="11" t="n">
        <f aca="false">L19/I19</f>
        <v>0.833333333333333</v>
      </c>
      <c r="N19" s="6"/>
      <c r="O19" s="10" t="n">
        <f aca="false">IF(J19="","",ROUNDUP(J19+0.01,0)-0.01)</f>
        <v>37.99</v>
      </c>
      <c r="P19" s="10" t="n">
        <f aca="false">IF(O19="","",O19/(1+Paramètres!$B$2))</f>
        <v>31.6583333333333</v>
      </c>
      <c r="Q19" s="10" t="n">
        <f aca="false">IF(P19="","",P19*0.1)</f>
        <v>3.16583333333333</v>
      </c>
      <c r="R19" s="12" t="n">
        <v>1</v>
      </c>
    </row>
    <row r="20" customFormat="false" ht="15" hidden="false" customHeight="true" outlineLevel="0" collapsed="false">
      <c r="A20" s="6" t="s">
        <v>62</v>
      </c>
      <c r="B20" s="6" t="s">
        <v>61</v>
      </c>
      <c r="C20" s="6" t="s">
        <v>29</v>
      </c>
      <c r="D20" s="7" t="n">
        <v>150</v>
      </c>
      <c r="E20" s="7" t="n">
        <v>50</v>
      </c>
      <c r="F20" s="8" t="n">
        <f aca="false">D20*E20/10000</f>
        <v>0.75</v>
      </c>
      <c r="G20" s="9" t="n">
        <f aca="false">(F20*1.2*2.4+F20*1.28)</f>
        <v>3.12</v>
      </c>
      <c r="H20" s="8" t="n">
        <f aca="false">H19</f>
        <v>15</v>
      </c>
      <c r="I20" s="1" t="n">
        <f aca="false">G20*H20</f>
        <v>46.8</v>
      </c>
      <c r="J20" s="10" t="n">
        <f aca="false">IF(I20="","",I20*(1+Paramètres!$B$2))</f>
        <v>56.16</v>
      </c>
      <c r="K20" s="10" t="n">
        <f aca="false">I20*0.1</f>
        <v>4.68</v>
      </c>
      <c r="L20" s="10" t="n">
        <f aca="false">I20-K20-G20</f>
        <v>39</v>
      </c>
      <c r="M20" s="11" t="n">
        <f aca="false">L20/I20</f>
        <v>0.833333333333333</v>
      </c>
      <c r="N20" s="6"/>
      <c r="O20" s="10" t="n">
        <f aca="false">IF(J20="","",ROUNDUP(J20+0.01,0)-0.01)</f>
        <v>56.99</v>
      </c>
      <c r="P20" s="10" t="n">
        <f aca="false">IF(O20="","",O20/(1+Paramètres!$B$2))</f>
        <v>47.4916666666667</v>
      </c>
      <c r="Q20" s="10" t="n">
        <f aca="false">IF(P20="","",P20*0.1)</f>
        <v>4.74916666666667</v>
      </c>
      <c r="R20" s="12" t="n">
        <v>1</v>
      </c>
    </row>
    <row r="21" customFormat="false" ht="15" hidden="false" customHeight="true" outlineLevel="0" collapsed="false">
      <c r="A21" s="6" t="s">
        <v>63</v>
      </c>
      <c r="B21" s="6" t="s">
        <v>61</v>
      </c>
      <c r="C21" s="6" t="s">
        <v>31</v>
      </c>
      <c r="D21" s="7" t="n">
        <v>200</v>
      </c>
      <c r="E21" s="7" t="n">
        <v>50</v>
      </c>
      <c r="F21" s="8" t="n">
        <f aca="false">D21*E21/10000</f>
        <v>1</v>
      </c>
      <c r="G21" s="9" t="n">
        <f aca="false">(F21*1.2*2.4+F21*1.28)</f>
        <v>4.16</v>
      </c>
      <c r="H21" s="8" t="n">
        <f aca="false">H20</f>
        <v>15</v>
      </c>
      <c r="I21" s="1" t="n">
        <f aca="false">G21*H21</f>
        <v>62.4</v>
      </c>
      <c r="J21" s="10" t="n">
        <f aca="false">IF(I21="","",I21*(1+Paramètres!$B$2))</f>
        <v>74.88</v>
      </c>
      <c r="K21" s="10" t="n">
        <f aca="false">I21*0.1</f>
        <v>6.24</v>
      </c>
      <c r="L21" s="10" t="n">
        <f aca="false">I21-K21-G21</f>
        <v>52</v>
      </c>
      <c r="M21" s="11" t="n">
        <f aca="false">L21/I21</f>
        <v>0.833333333333333</v>
      </c>
      <c r="N21" s="6"/>
      <c r="O21" s="10" t="n">
        <f aca="false">IF(J21="","",ROUNDUP(J21+0.01,0)-0.01)</f>
        <v>74.99</v>
      </c>
      <c r="P21" s="10" t="n">
        <f aca="false">IF(O21="","",O21/(1+Paramètres!$B$2))</f>
        <v>62.4916666666667</v>
      </c>
      <c r="Q21" s="10" t="n">
        <f aca="false">IF(P21="","",P21*0.1)</f>
        <v>6.24916666666667</v>
      </c>
      <c r="R21" s="12" t="n">
        <v>1</v>
      </c>
    </row>
    <row r="22" customFormat="false" ht="15" hidden="false" customHeight="true" outlineLevel="0" collapsed="false">
      <c r="A22" s="6" t="s">
        <v>64</v>
      </c>
      <c r="B22" s="6" t="s">
        <v>61</v>
      </c>
      <c r="C22" s="6" t="s">
        <v>33</v>
      </c>
      <c r="D22" s="7" t="n">
        <v>100</v>
      </c>
      <c r="E22" s="7" t="n">
        <v>100</v>
      </c>
      <c r="F22" s="8" t="n">
        <f aca="false">D22*E22/10000</f>
        <v>1</v>
      </c>
      <c r="G22" s="9" t="n">
        <f aca="false">(F22*1.2*2.4+F22*1.28)</f>
        <v>4.16</v>
      </c>
      <c r="H22" s="8" t="n">
        <f aca="false">H21</f>
        <v>15</v>
      </c>
      <c r="I22" s="1" t="n">
        <f aca="false">G22*H22</f>
        <v>62.4</v>
      </c>
      <c r="J22" s="10" t="n">
        <f aca="false">IF(I22="","",I22*(1+Paramètres!$B$2))</f>
        <v>74.88</v>
      </c>
      <c r="K22" s="10" t="n">
        <f aca="false">I22*0.1</f>
        <v>6.24</v>
      </c>
      <c r="L22" s="10" t="n">
        <f aca="false">I22-K22-G22</f>
        <v>52</v>
      </c>
      <c r="M22" s="11" t="n">
        <f aca="false">L22/I22</f>
        <v>0.833333333333333</v>
      </c>
      <c r="N22" s="6"/>
      <c r="O22" s="10" t="n">
        <f aca="false">IF(J22="","",ROUNDUP(J22+0.01,0)-0.01)</f>
        <v>74.99</v>
      </c>
      <c r="P22" s="10" t="n">
        <f aca="false">IF(O22="","",O22/(1+Paramètres!$B$2))</f>
        <v>62.4916666666667</v>
      </c>
      <c r="Q22" s="10" t="n">
        <f aca="false">IF(P22="","",P22*0.1)</f>
        <v>6.24916666666667</v>
      </c>
      <c r="R22" s="12" t="n">
        <v>1</v>
      </c>
    </row>
    <row r="23" customFormat="false" ht="15" hidden="false" customHeight="true" outlineLevel="0" collapsed="false">
      <c r="A23" s="6" t="s">
        <v>65</v>
      </c>
      <c r="B23" s="6" t="s">
        <v>61</v>
      </c>
      <c r="C23" s="6" t="s">
        <v>35</v>
      </c>
      <c r="D23" s="7" t="n">
        <v>150</v>
      </c>
      <c r="E23" s="7" t="n">
        <v>100</v>
      </c>
      <c r="F23" s="8" t="n">
        <f aca="false">D23*E23/10000</f>
        <v>1.5</v>
      </c>
      <c r="G23" s="9" t="n">
        <f aca="false">(F23*1.2*2.4+F23*1.28)</f>
        <v>6.24</v>
      </c>
      <c r="H23" s="8" t="n">
        <f aca="false">H22</f>
        <v>15</v>
      </c>
      <c r="I23" s="1" t="n">
        <f aca="false">G23*H23</f>
        <v>93.6</v>
      </c>
      <c r="J23" s="10" t="n">
        <f aca="false">IF(I23="","",I23*(1+Paramètres!$B$2))</f>
        <v>112.32</v>
      </c>
      <c r="K23" s="10" t="n">
        <f aca="false">I23*0.1</f>
        <v>9.36</v>
      </c>
      <c r="L23" s="10" t="n">
        <f aca="false">I23-K23-G23</f>
        <v>78</v>
      </c>
      <c r="M23" s="11" t="n">
        <f aca="false">L23/I23</f>
        <v>0.833333333333333</v>
      </c>
      <c r="N23" s="6"/>
      <c r="O23" s="10" t="n">
        <f aca="false">IF(J23="","",ROUNDUP(J23+0.01,0)-0.01)</f>
        <v>112.99</v>
      </c>
      <c r="P23" s="10" t="n">
        <f aca="false">IF(O23="","",O23/(1+Paramètres!$B$2))</f>
        <v>94.1583333333333</v>
      </c>
      <c r="Q23" s="10" t="n">
        <f aca="false">IF(P23="","",P23*0.1)</f>
        <v>9.41583333333333</v>
      </c>
      <c r="R23" s="12" t="n">
        <v>1</v>
      </c>
    </row>
    <row r="24" customFormat="false" ht="15" hidden="false" customHeight="true" outlineLevel="0" collapsed="false">
      <c r="A24" s="6" t="s">
        <v>66</v>
      </c>
      <c r="B24" s="6" t="s">
        <v>61</v>
      </c>
      <c r="C24" s="6" t="s">
        <v>37</v>
      </c>
      <c r="D24" s="7" t="n">
        <v>200</v>
      </c>
      <c r="E24" s="7" t="n">
        <v>100</v>
      </c>
      <c r="F24" s="8" t="n">
        <f aca="false">D24*E24/10000</f>
        <v>2</v>
      </c>
      <c r="G24" s="9" t="n">
        <f aca="false">(F24*1.2*2.4+F24*1.28)</f>
        <v>8.32</v>
      </c>
      <c r="H24" s="8" t="n">
        <f aca="false">H23</f>
        <v>15</v>
      </c>
      <c r="I24" s="1" t="n">
        <f aca="false">G24*H24</f>
        <v>124.8</v>
      </c>
      <c r="J24" s="10" t="n">
        <f aca="false">IF(I24="","",I24*(1+Paramètres!$B$2))</f>
        <v>149.76</v>
      </c>
      <c r="K24" s="10" t="n">
        <f aca="false">I24*0.1</f>
        <v>12.48</v>
      </c>
      <c r="L24" s="10" t="n">
        <f aca="false">I24-K24-G24</f>
        <v>104</v>
      </c>
      <c r="M24" s="11" t="n">
        <f aca="false">L24/I24</f>
        <v>0.833333333333333</v>
      </c>
      <c r="N24" s="6"/>
      <c r="O24" s="10" t="n">
        <f aca="false">IF(J24="","",ROUNDUP(J24+0.01,0)-0.01)</f>
        <v>149.99</v>
      </c>
      <c r="P24" s="10" t="n">
        <f aca="false">IF(O24="","",O24/(1+Paramètres!$B$2))</f>
        <v>124.991666666667</v>
      </c>
      <c r="Q24" s="10" t="n">
        <f aca="false">IF(P24="","",P24*0.1)</f>
        <v>12.4991666666667</v>
      </c>
      <c r="R24" s="12" t="n">
        <v>1</v>
      </c>
    </row>
    <row r="25" customFormat="false" ht="15" hidden="false" customHeight="true" outlineLevel="0" collapsed="false">
      <c r="A25" s="6" t="s">
        <v>67</v>
      </c>
      <c r="B25" s="6" t="s">
        <v>61</v>
      </c>
      <c r="C25" s="6" t="s">
        <v>39</v>
      </c>
      <c r="D25" s="7" t="n">
        <v>250</v>
      </c>
      <c r="E25" s="7" t="n">
        <v>100</v>
      </c>
      <c r="F25" s="8" t="n">
        <f aca="false">D25*E25/10000</f>
        <v>2.5</v>
      </c>
      <c r="G25" s="9" t="n">
        <f aca="false">(F25*1.2*2.4+F25*1.28)</f>
        <v>10.4</v>
      </c>
      <c r="H25" s="8" t="n">
        <f aca="false">H24</f>
        <v>15</v>
      </c>
      <c r="I25" s="1" t="n">
        <f aca="false">G25*H25</f>
        <v>156</v>
      </c>
      <c r="J25" s="10" t="n">
        <f aca="false">IF(I25="","",I25*(1+Paramètres!$B$2))</f>
        <v>187.2</v>
      </c>
      <c r="K25" s="10" t="n">
        <f aca="false">I25*0.1</f>
        <v>15.6</v>
      </c>
      <c r="L25" s="10" t="n">
        <f aca="false">I25-K25-G25</f>
        <v>130</v>
      </c>
      <c r="M25" s="11" t="n">
        <f aca="false">L25/I25</f>
        <v>0.833333333333333</v>
      </c>
      <c r="N25" s="6"/>
      <c r="O25" s="10" t="n">
        <f aca="false">IF(J25="","",ROUNDUP(J25+0.01,0)-0.01)</f>
        <v>187.99</v>
      </c>
      <c r="P25" s="10" t="n">
        <f aca="false">IF(O25="","",O25/(1+Paramètres!$B$2))</f>
        <v>156.658333333333</v>
      </c>
      <c r="Q25" s="10" t="n">
        <f aca="false">IF(P25="","",P25*0.1)</f>
        <v>15.6658333333333</v>
      </c>
      <c r="R25" s="12" t="n">
        <v>1</v>
      </c>
    </row>
    <row r="26" customFormat="false" ht="15" hidden="false" customHeight="true" outlineLevel="0" collapsed="false">
      <c r="A26" s="6" t="s">
        <v>68</v>
      </c>
      <c r="B26" s="6" t="s">
        <v>61</v>
      </c>
      <c r="C26" s="6" t="s">
        <v>41</v>
      </c>
      <c r="D26" s="7" t="n">
        <v>300</v>
      </c>
      <c r="E26" s="7" t="n">
        <v>100</v>
      </c>
      <c r="F26" s="8" t="n">
        <f aca="false">D26*E26/10000</f>
        <v>3</v>
      </c>
      <c r="G26" s="9" t="n">
        <f aca="false">(F26*1.2*2.4+F26*1.28)</f>
        <v>12.48</v>
      </c>
      <c r="H26" s="8" t="n">
        <f aca="false">H25</f>
        <v>15</v>
      </c>
      <c r="I26" s="1" t="n">
        <f aca="false">G26*H26</f>
        <v>187.2</v>
      </c>
      <c r="J26" s="10" t="n">
        <f aca="false">IF(I26="","",I26*(1+Paramètres!$B$2))</f>
        <v>224.64</v>
      </c>
      <c r="K26" s="10" t="n">
        <f aca="false">I26*0.1</f>
        <v>18.72</v>
      </c>
      <c r="L26" s="10" t="n">
        <f aca="false">I26-K26-G26</f>
        <v>156</v>
      </c>
      <c r="M26" s="11" t="n">
        <f aca="false">L26/I26</f>
        <v>0.833333333333333</v>
      </c>
      <c r="N26" s="6"/>
      <c r="O26" s="10" t="n">
        <f aca="false">IF(J26="","",ROUNDUP(J26+0.01,0)-0.01)</f>
        <v>224.99</v>
      </c>
      <c r="P26" s="10" t="n">
        <f aca="false">IF(O26="","",O26/(1+Paramètres!$B$2))</f>
        <v>187.491666666667</v>
      </c>
      <c r="Q26" s="10" t="n">
        <f aca="false">IF(P26="","",P26*0.1)</f>
        <v>18.7491666666667</v>
      </c>
      <c r="R26" s="12" t="n">
        <v>1</v>
      </c>
    </row>
    <row r="27" customFormat="false" ht="15" hidden="false" customHeight="true" outlineLevel="0" collapsed="false">
      <c r="A27" s="6" t="s">
        <v>69</v>
      </c>
      <c r="B27" s="6" t="s">
        <v>61</v>
      </c>
      <c r="C27" s="6" t="s">
        <v>43</v>
      </c>
      <c r="D27" s="7" t="n">
        <v>100</v>
      </c>
      <c r="E27" s="7" t="n">
        <v>130</v>
      </c>
      <c r="F27" s="8" t="n">
        <f aca="false">D27*E27/10000</f>
        <v>1.3</v>
      </c>
      <c r="G27" s="9" t="n">
        <f aca="false">(F27*1.2*2.4+F27*1.28)</f>
        <v>5.408</v>
      </c>
      <c r="H27" s="8" t="n">
        <f aca="false">H26</f>
        <v>15</v>
      </c>
      <c r="I27" s="1" t="n">
        <f aca="false">G27*H27</f>
        <v>81.12</v>
      </c>
      <c r="J27" s="10" t="n">
        <f aca="false">IF(I27="","",I27*(1+Paramètres!$B$2))</f>
        <v>97.344</v>
      </c>
      <c r="K27" s="10" t="n">
        <f aca="false">I27*0.1</f>
        <v>8.112</v>
      </c>
      <c r="L27" s="10" t="n">
        <f aca="false">I27-K27-G27</f>
        <v>67.6</v>
      </c>
      <c r="M27" s="11" t="n">
        <f aca="false">L27/I27</f>
        <v>0.833333333333333</v>
      </c>
      <c r="N27" s="6"/>
      <c r="O27" s="10" t="n">
        <f aca="false">IF(J27="","",ROUNDUP(J27+0.01,0)-0.01)</f>
        <v>97.99</v>
      </c>
      <c r="P27" s="10" t="n">
        <f aca="false">IF(O27="","",O27/(1+Paramètres!$B$2))</f>
        <v>81.6583333333333</v>
      </c>
      <c r="Q27" s="10" t="n">
        <f aca="false">IF(P27="","",P27*0.1)</f>
        <v>8.16583333333333</v>
      </c>
      <c r="R27" s="12" t="n">
        <v>1</v>
      </c>
    </row>
    <row r="28" customFormat="false" ht="15" hidden="false" customHeight="true" outlineLevel="0" collapsed="false">
      <c r="A28" s="6" t="s">
        <v>70</v>
      </c>
      <c r="B28" s="6" t="s">
        <v>61</v>
      </c>
      <c r="C28" s="6" t="s">
        <v>45</v>
      </c>
      <c r="D28" s="7" t="n">
        <v>150</v>
      </c>
      <c r="E28" s="7" t="n">
        <v>130</v>
      </c>
      <c r="F28" s="8" t="n">
        <f aca="false">D28*E28/10000</f>
        <v>1.95</v>
      </c>
      <c r="G28" s="9" t="n">
        <f aca="false">(F28*1.2*2.4+F28*1.28)</f>
        <v>8.112</v>
      </c>
      <c r="H28" s="8" t="n">
        <f aca="false">H27</f>
        <v>15</v>
      </c>
      <c r="I28" s="1" t="n">
        <f aca="false">G28*H28</f>
        <v>121.68</v>
      </c>
      <c r="J28" s="10" t="n">
        <f aca="false">IF(I28="","",I28*(1+Paramètres!$B$2))</f>
        <v>146.016</v>
      </c>
      <c r="K28" s="10" t="n">
        <f aca="false">I28*0.1</f>
        <v>12.168</v>
      </c>
      <c r="L28" s="10" t="n">
        <f aca="false">I28-K28-G28</f>
        <v>101.4</v>
      </c>
      <c r="M28" s="11" t="n">
        <f aca="false">L28/I28</f>
        <v>0.833333333333333</v>
      </c>
      <c r="N28" s="6"/>
      <c r="O28" s="10" t="n">
        <f aca="false">IF(J28="","",ROUNDUP(J28+0.01,0)-0.01)</f>
        <v>146.99</v>
      </c>
      <c r="P28" s="10" t="n">
        <f aca="false">IF(O28="","",O28/(1+Paramètres!$B$2))</f>
        <v>122.491666666667</v>
      </c>
      <c r="Q28" s="10" t="n">
        <f aca="false">IF(P28="","",P28*0.1)</f>
        <v>12.2491666666667</v>
      </c>
      <c r="R28" s="12" t="n">
        <v>1</v>
      </c>
    </row>
    <row r="29" customFormat="false" ht="15" hidden="false" customHeight="true" outlineLevel="0" collapsed="false">
      <c r="A29" s="6" t="s">
        <v>71</v>
      </c>
      <c r="B29" s="6" t="s">
        <v>61</v>
      </c>
      <c r="C29" s="6" t="s">
        <v>47</v>
      </c>
      <c r="D29" s="7" t="n">
        <v>200</v>
      </c>
      <c r="E29" s="7" t="n">
        <v>130</v>
      </c>
      <c r="F29" s="8" t="n">
        <f aca="false">D29*E29/10000</f>
        <v>2.6</v>
      </c>
      <c r="G29" s="9" t="n">
        <f aca="false">(F29*1.2*2.4+F29*1.28)</f>
        <v>10.816</v>
      </c>
      <c r="H29" s="8" t="n">
        <f aca="false">H28</f>
        <v>15</v>
      </c>
      <c r="I29" s="1" t="n">
        <f aca="false">G29*H29</f>
        <v>162.24</v>
      </c>
      <c r="J29" s="10" t="n">
        <f aca="false">IF(I29="","",I29*(1+Paramètres!$B$2))</f>
        <v>194.688</v>
      </c>
      <c r="K29" s="10" t="n">
        <f aca="false">I29*0.1</f>
        <v>16.224</v>
      </c>
      <c r="L29" s="10" t="n">
        <f aca="false">I29-K29-G29</f>
        <v>135.2</v>
      </c>
      <c r="M29" s="11" t="n">
        <f aca="false">L29/I29</f>
        <v>0.833333333333333</v>
      </c>
      <c r="N29" s="6"/>
      <c r="O29" s="10" t="n">
        <f aca="false">IF(J29="","",ROUNDUP(J29+0.01,0)-0.01)</f>
        <v>194.99</v>
      </c>
      <c r="P29" s="10" t="n">
        <f aca="false">IF(O29="","",O29/(1+Paramètres!$B$2))</f>
        <v>162.491666666667</v>
      </c>
      <c r="Q29" s="10" t="n">
        <f aca="false">IF(P29="","",P29*0.1)</f>
        <v>16.2491666666667</v>
      </c>
      <c r="R29" s="12" t="n">
        <v>1</v>
      </c>
    </row>
    <row r="30" customFormat="false" ht="15" hidden="false" customHeight="true" outlineLevel="0" collapsed="false">
      <c r="A30" s="6" t="s">
        <v>72</v>
      </c>
      <c r="B30" s="6" t="s">
        <v>61</v>
      </c>
      <c r="C30" s="6" t="s">
        <v>49</v>
      </c>
      <c r="D30" s="7" t="n">
        <v>250</v>
      </c>
      <c r="E30" s="7" t="n">
        <v>130</v>
      </c>
      <c r="F30" s="8" t="n">
        <f aca="false">D30*E30/10000</f>
        <v>3.25</v>
      </c>
      <c r="G30" s="9" t="n">
        <f aca="false">(F30*1.2*2.4+F30*1.28)</f>
        <v>13.52</v>
      </c>
      <c r="H30" s="8" t="n">
        <f aca="false">H29</f>
        <v>15</v>
      </c>
      <c r="I30" s="1" t="n">
        <f aca="false">G30*H30</f>
        <v>202.8</v>
      </c>
      <c r="J30" s="10" t="n">
        <f aca="false">IF(I30="","",I30*(1+Paramètres!$B$2))</f>
        <v>243.36</v>
      </c>
      <c r="K30" s="10" t="n">
        <f aca="false">I30*0.1</f>
        <v>20.28</v>
      </c>
      <c r="L30" s="10" t="n">
        <f aca="false">I30-K30-G30</f>
        <v>169</v>
      </c>
      <c r="M30" s="11" t="n">
        <f aca="false">L30/I30</f>
        <v>0.833333333333333</v>
      </c>
      <c r="N30" s="6"/>
      <c r="O30" s="10" t="n">
        <f aca="false">IF(J30="","",ROUNDUP(J30+0.01,0)-0.01)</f>
        <v>243.99</v>
      </c>
      <c r="P30" s="10" t="n">
        <f aca="false">IF(O30="","",O30/(1+Paramètres!$B$2))</f>
        <v>203.325</v>
      </c>
      <c r="Q30" s="10" t="n">
        <f aca="false">IF(P30="","",P30*0.1)</f>
        <v>20.3325</v>
      </c>
      <c r="R30" s="12" t="n">
        <v>1</v>
      </c>
    </row>
    <row r="31" customFormat="false" ht="15" hidden="false" customHeight="true" outlineLevel="0" collapsed="false">
      <c r="A31" s="6" t="s">
        <v>73</v>
      </c>
      <c r="B31" s="6" t="s">
        <v>61</v>
      </c>
      <c r="C31" s="6" t="s">
        <v>51</v>
      </c>
      <c r="D31" s="7" t="n">
        <v>300</v>
      </c>
      <c r="E31" s="7" t="n">
        <v>130</v>
      </c>
      <c r="F31" s="8" t="n">
        <f aca="false">D31*E31/10000</f>
        <v>3.9</v>
      </c>
      <c r="G31" s="9" t="n">
        <f aca="false">(F31*1.2*2.4+F31*1.28)</f>
        <v>16.224</v>
      </c>
      <c r="H31" s="8" t="n">
        <f aca="false">H30</f>
        <v>15</v>
      </c>
      <c r="I31" s="1" t="n">
        <f aca="false">G31*H31</f>
        <v>243.36</v>
      </c>
      <c r="J31" s="10" t="n">
        <f aca="false">IF(I31="","",I31*(1+Paramètres!$B$2))</f>
        <v>292.032</v>
      </c>
      <c r="K31" s="10" t="n">
        <f aca="false">I31*0.1</f>
        <v>24.336</v>
      </c>
      <c r="L31" s="10" t="n">
        <f aca="false">I31-K31-G31</f>
        <v>202.8</v>
      </c>
      <c r="M31" s="11" t="n">
        <f aca="false">L31/I31</f>
        <v>0.833333333333333</v>
      </c>
      <c r="N31" s="6"/>
      <c r="O31" s="10" t="n">
        <f aca="false">IF(J31="","",ROUNDUP(J31+0.01,0)-0.01)</f>
        <v>292.99</v>
      </c>
      <c r="P31" s="10" t="n">
        <f aca="false">IF(O31="","",O31/(1+Paramètres!$B$2))</f>
        <v>244.158333333333</v>
      </c>
      <c r="Q31" s="10" t="n">
        <f aca="false">IF(P31="","",P31*0.1)</f>
        <v>24.4158333333333</v>
      </c>
      <c r="R31" s="12" t="n">
        <v>1</v>
      </c>
    </row>
    <row r="32" customFormat="false" ht="15" hidden="false" customHeight="true" outlineLevel="0" collapsed="false">
      <c r="A32" s="6" t="s">
        <v>74</v>
      </c>
      <c r="B32" s="6" t="s">
        <v>61</v>
      </c>
      <c r="C32" s="6" t="s">
        <v>53</v>
      </c>
      <c r="D32" s="7" t="n">
        <v>150</v>
      </c>
      <c r="E32" s="7" t="n">
        <v>150</v>
      </c>
      <c r="F32" s="8" t="n">
        <f aca="false">D32*E32/10000</f>
        <v>2.25</v>
      </c>
      <c r="G32" s="9" t="n">
        <f aca="false">(F32*1.2*2.4+F32*1.28)</f>
        <v>9.36</v>
      </c>
      <c r="H32" s="8" t="n">
        <f aca="false">H31</f>
        <v>15</v>
      </c>
      <c r="I32" s="1" t="n">
        <f aca="false">G32*H32</f>
        <v>140.4</v>
      </c>
      <c r="J32" s="10" t="n">
        <f aca="false">IF(I32="","",I32*(1+Paramètres!$B$2))</f>
        <v>168.48</v>
      </c>
      <c r="K32" s="10" t="n">
        <f aca="false">I32*0.1</f>
        <v>14.04</v>
      </c>
      <c r="L32" s="10" t="n">
        <f aca="false">I32-K32-G32</f>
        <v>117</v>
      </c>
      <c r="M32" s="11" t="n">
        <f aca="false">L32/I32</f>
        <v>0.833333333333333</v>
      </c>
      <c r="N32" s="6"/>
      <c r="O32" s="10" t="n">
        <f aca="false">IF(J32="","",ROUNDUP(J32+0.01,0)-0.01)</f>
        <v>168.99</v>
      </c>
      <c r="P32" s="10" t="n">
        <f aca="false">IF(O32="","",O32/(1+Paramètres!$B$2))</f>
        <v>140.825</v>
      </c>
      <c r="Q32" s="10" t="n">
        <f aca="false">IF(P32="","",P32*0.1)</f>
        <v>14.0825</v>
      </c>
      <c r="R32" s="12" t="n">
        <v>1</v>
      </c>
    </row>
    <row r="33" customFormat="false" ht="15" hidden="false" customHeight="true" outlineLevel="0" collapsed="false">
      <c r="A33" s="6" t="s">
        <v>75</v>
      </c>
      <c r="B33" s="6" t="s">
        <v>61</v>
      </c>
      <c r="C33" s="6" t="s">
        <v>55</v>
      </c>
      <c r="D33" s="7" t="n">
        <v>200</v>
      </c>
      <c r="E33" s="7" t="n">
        <v>150</v>
      </c>
      <c r="F33" s="8" t="n">
        <f aca="false">D33*E33/10000</f>
        <v>3</v>
      </c>
      <c r="G33" s="9" t="n">
        <f aca="false">(F33*1.2*2.4+F33*1.28)</f>
        <v>12.48</v>
      </c>
      <c r="H33" s="8" t="n">
        <f aca="false">H32</f>
        <v>15</v>
      </c>
      <c r="I33" s="1" t="n">
        <f aca="false">G33*H33</f>
        <v>187.2</v>
      </c>
      <c r="J33" s="10" t="n">
        <f aca="false">IF(I33="","",I33*(1+Paramètres!$B$2))</f>
        <v>224.64</v>
      </c>
      <c r="K33" s="10" t="n">
        <f aca="false">I33*0.1</f>
        <v>18.72</v>
      </c>
      <c r="L33" s="10" t="n">
        <f aca="false">I33-K33-G33</f>
        <v>156</v>
      </c>
      <c r="M33" s="11" t="n">
        <f aca="false">L33/I33</f>
        <v>0.833333333333333</v>
      </c>
      <c r="N33" s="6"/>
      <c r="O33" s="10" t="n">
        <f aca="false">IF(J33="","",ROUNDUP(J33+0.01,0)-0.01)</f>
        <v>224.99</v>
      </c>
      <c r="P33" s="10" t="n">
        <f aca="false">IF(O33="","",O33/(1+Paramètres!$B$2))</f>
        <v>187.491666666667</v>
      </c>
      <c r="Q33" s="10" t="n">
        <f aca="false">IF(P33="","",P33*0.1)</f>
        <v>18.7491666666667</v>
      </c>
      <c r="R33" s="12" t="n">
        <v>1</v>
      </c>
    </row>
    <row r="34" customFormat="false" ht="15" hidden="false" customHeight="true" outlineLevel="0" collapsed="false">
      <c r="A34" s="6" t="s">
        <v>76</v>
      </c>
      <c r="B34" s="6" t="s">
        <v>61</v>
      </c>
      <c r="C34" s="6" t="s">
        <v>57</v>
      </c>
      <c r="D34" s="7" t="n">
        <v>250</v>
      </c>
      <c r="E34" s="7" t="n">
        <v>150</v>
      </c>
      <c r="F34" s="8" t="n">
        <f aca="false">D34*E34/10000</f>
        <v>3.75</v>
      </c>
      <c r="G34" s="9" t="n">
        <f aca="false">(F34*1.2*2.4+F34*1.28)</f>
        <v>15.6</v>
      </c>
      <c r="H34" s="8" t="n">
        <f aca="false">H33</f>
        <v>15</v>
      </c>
      <c r="I34" s="1" t="n">
        <f aca="false">G34*H34</f>
        <v>234</v>
      </c>
      <c r="J34" s="10" t="n">
        <f aca="false">IF(I34="","",I34*(1+Paramètres!$B$2))</f>
        <v>280.8</v>
      </c>
      <c r="K34" s="10" t="n">
        <f aca="false">I34*0.1</f>
        <v>23.4</v>
      </c>
      <c r="L34" s="10" t="n">
        <f aca="false">I34-K34-G34</f>
        <v>195</v>
      </c>
      <c r="M34" s="11" t="n">
        <f aca="false">L34/I34</f>
        <v>0.833333333333333</v>
      </c>
      <c r="N34" s="6"/>
      <c r="O34" s="10" t="n">
        <f aca="false">IF(J34="","",ROUNDUP(J34+0.01,0)-0.01)</f>
        <v>280.99</v>
      </c>
      <c r="P34" s="10" t="n">
        <f aca="false">IF(O34="","",O34/(1+Paramètres!$B$2))</f>
        <v>234.158333333333</v>
      </c>
      <c r="Q34" s="10" t="n">
        <f aca="false">IF(P34="","",P34*0.1)</f>
        <v>23.4158333333333</v>
      </c>
      <c r="R34" s="12" t="n">
        <v>1</v>
      </c>
    </row>
    <row r="35" customFormat="false" ht="15" hidden="false" customHeight="true" outlineLevel="0" collapsed="false">
      <c r="A35" s="6" t="s">
        <v>77</v>
      </c>
      <c r="B35" s="6" t="s">
        <v>61</v>
      </c>
      <c r="C35" s="6" t="s">
        <v>59</v>
      </c>
      <c r="D35" s="7" t="n">
        <v>300</v>
      </c>
      <c r="E35" s="7" t="n">
        <v>150</v>
      </c>
      <c r="F35" s="8" t="n">
        <f aca="false">D35*E35/10000</f>
        <v>4.5</v>
      </c>
      <c r="G35" s="9" t="n">
        <f aca="false">(F35*1.2*2.4+F35*1.28)</f>
        <v>18.72</v>
      </c>
      <c r="H35" s="8" t="n">
        <f aca="false">H34</f>
        <v>15</v>
      </c>
      <c r="I35" s="1" t="n">
        <f aca="false">G35*H35</f>
        <v>280.8</v>
      </c>
      <c r="J35" s="10" t="n">
        <f aca="false">IF(I35="","",I35*(1+Paramètres!$B$2))</f>
        <v>336.96</v>
      </c>
      <c r="K35" s="10" t="n">
        <f aca="false">I35*0.1</f>
        <v>28.08</v>
      </c>
      <c r="L35" s="10" t="n">
        <f aca="false">I35-K35-G35</f>
        <v>234</v>
      </c>
      <c r="M35" s="11" t="n">
        <f aca="false">L35/I35</f>
        <v>0.833333333333333</v>
      </c>
      <c r="N35" s="6"/>
      <c r="O35" s="10" t="n">
        <f aca="false">IF(J35="","",ROUNDUP(J35+0.01,0)-0.01)</f>
        <v>336.99</v>
      </c>
      <c r="P35" s="10" t="n">
        <f aca="false">IF(O35="","",O35/(1+Paramètres!$B$2))</f>
        <v>280.825</v>
      </c>
      <c r="Q35" s="10" t="n">
        <f aca="false">IF(P35="","",P35*0.1)</f>
        <v>28.0825</v>
      </c>
      <c r="R35" s="12" t="n">
        <v>1</v>
      </c>
    </row>
    <row r="36" customFormat="false" ht="15" hidden="false" customHeight="true" outlineLevel="0" collapsed="false">
      <c r="A36" s="6" t="s">
        <v>78</v>
      </c>
      <c r="B36" s="6" t="s">
        <v>79</v>
      </c>
      <c r="C36" s="6" t="s">
        <v>27</v>
      </c>
      <c r="D36" s="7" t="n">
        <v>100</v>
      </c>
      <c r="E36" s="7" t="n">
        <v>50</v>
      </c>
      <c r="F36" s="8" t="n">
        <f aca="false">D36*E36/10000</f>
        <v>0.5</v>
      </c>
      <c r="G36" s="9" t="n">
        <f aca="false">(F36*1.2*4.24+F36*1.28)</f>
        <v>3.184</v>
      </c>
      <c r="H36" s="8" t="n">
        <f aca="false">H35</f>
        <v>15</v>
      </c>
      <c r="I36" s="1" t="n">
        <f aca="false">G36*H36</f>
        <v>47.76</v>
      </c>
      <c r="J36" s="10" t="n">
        <f aca="false">IF(I36="","",I36*(1+Paramètres!$B$2))</f>
        <v>57.312</v>
      </c>
      <c r="K36" s="10" t="n">
        <f aca="false">I36*0.1</f>
        <v>4.776</v>
      </c>
      <c r="L36" s="10" t="n">
        <f aca="false">I36-K36-G36</f>
        <v>39.8</v>
      </c>
      <c r="M36" s="11" t="n">
        <f aca="false">L36/I36</f>
        <v>0.833333333333333</v>
      </c>
      <c r="N36" s="6"/>
      <c r="O36" s="10" t="n">
        <f aca="false">IF(J36="","",ROUNDUP(J36+0.01,0)-0.01)</f>
        <v>57.99</v>
      </c>
      <c r="P36" s="10" t="n">
        <f aca="false">IF(O36="","",O36/(1+Paramètres!$B$2))</f>
        <v>48.325</v>
      </c>
      <c r="Q36" s="10" t="n">
        <f aca="false">IF(P36="","",P36*0.1)</f>
        <v>4.8325</v>
      </c>
      <c r="R36" s="12" t="n">
        <v>1</v>
      </c>
    </row>
    <row r="37" customFormat="false" ht="15" hidden="false" customHeight="true" outlineLevel="0" collapsed="false">
      <c r="A37" s="6" t="s">
        <v>80</v>
      </c>
      <c r="B37" s="6" t="s">
        <v>79</v>
      </c>
      <c r="C37" s="6" t="s">
        <v>29</v>
      </c>
      <c r="D37" s="7" t="n">
        <v>150</v>
      </c>
      <c r="E37" s="7" t="n">
        <v>50</v>
      </c>
      <c r="F37" s="8" t="n">
        <f aca="false">D37*E37/10000</f>
        <v>0.75</v>
      </c>
      <c r="G37" s="9" t="n">
        <f aca="false">(F37*1.2*4.24+F37*1.28)</f>
        <v>4.776</v>
      </c>
      <c r="H37" s="8" t="n">
        <f aca="false">H36</f>
        <v>15</v>
      </c>
      <c r="I37" s="1" t="n">
        <f aca="false">G37*H37</f>
        <v>71.64</v>
      </c>
      <c r="J37" s="10" t="n">
        <f aca="false">IF(I37="","",I37*(1+Paramètres!$B$2))</f>
        <v>85.968</v>
      </c>
      <c r="K37" s="10" t="n">
        <f aca="false">I37*0.1</f>
        <v>7.164</v>
      </c>
      <c r="L37" s="10" t="n">
        <f aca="false">I37-K37-G37</f>
        <v>59.7</v>
      </c>
      <c r="M37" s="11" t="n">
        <f aca="false">L37/I37</f>
        <v>0.833333333333333</v>
      </c>
      <c r="N37" s="6"/>
      <c r="O37" s="10" t="n">
        <f aca="false">IF(J37="","",ROUNDUP(J37+0.01,0)-0.01)</f>
        <v>85.99</v>
      </c>
      <c r="P37" s="10" t="n">
        <f aca="false">IF(O37="","",O37/(1+Paramètres!$B$2))</f>
        <v>71.6583333333333</v>
      </c>
      <c r="Q37" s="10" t="n">
        <f aca="false">IF(P37="","",P37*0.1)</f>
        <v>7.16583333333333</v>
      </c>
      <c r="R37" s="12" t="n">
        <v>1</v>
      </c>
    </row>
    <row r="38" customFormat="false" ht="15" hidden="false" customHeight="true" outlineLevel="0" collapsed="false">
      <c r="A38" s="6" t="s">
        <v>81</v>
      </c>
      <c r="B38" s="6" t="s">
        <v>79</v>
      </c>
      <c r="C38" s="6" t="s">
        <v>31</v>
      </c>
      <c r="D38" s="7" t="n">
        <v>200</v>
      </c>
      <c r="E38" s="7" t="n">
        <v>50</v>
      </c>
      <c r="F38" s="8" t="n">
        <f aca="false">D38*E38/10000</f>
        <v>1</v>
      </c>
      <c r="G38" s="9" t="n">
        <f aca="false">(F38*1.2*4.24+F38*1.28)</f>
        <v>6.368</v>
      </c>
      <c r="H38" s="8" t="n">
        <f aca="false">H37</f>
        <v>15</v>
      </c>
      <c r="I38" s="1" t="n">
        <f aca="false">G38*H38</f>
        <v>95.52</v>
      </c>
      <c r="J38" s="10" t="n">
        <f aca="false">IF(I38="","",I38*(1+Paramètres!$B$2))</f>
        <v>114.624</v>
      </c>
      <c r="K38" s="10" t="n">
        <f aca="false">I38*0.1</f>
        <v>9.552</v>
      </c>
      <c r="L38" s="10" t="n">
        <f aca="false">I38-K38-G38</f>
        <v>79.6</v>
      </c>
      <c r="M38" s="11" t="n">
        <f aca="false">L38/I38</f>
        <v>0.833333333333333</v>
      </c>
      <c r="N38" s="6"/>
      <c r="O38" s="10" t="n">
        <f aca="false">IF(J38="","",ROUNDUP(J38+0.01,0)-0.01)</f>
        <v>114.99</v>
      </c>
      <c r="P38" s="10" t="n">
        <f aca="false">IF(O38="","",O38/(1+Paramètres!$B$2))</f>
        <v>95.825</v>
      </c>
      <c r="Q38" s="10" t="n">
        <f aca="false">IF(P38="","",P38*0.1)</f>
        <v>9.5825</v>
      </c>
      <c r="R38" s="12" t="n">
        <v>1</v>
      </c>
    </row>
    <row r="39" customFormat="false" ht="15" hidden="false" customHeight="true" outlineLevel="0" collapsed="false">
      <c r="A39" s="6" t="s">
        <v>82</v>
      </c>
      <c r="B39" s="6" t="s">
        <v>79</v>
      </c>
      <c r="C39" s="6" t="s">
        <v>33</v>
      </c>
      <c r="D39" s="7" t="n">
        <v>100</v>
      </c>
      <c r="E39" s="7" t="n">
        <v>100</v>
      </c>
      <c r="F39" s="8" t="n">
        <f aca="false">D39*E39/10000</f>
        <v>1</v>
      </c>
      <c r="G39" s="9" t="n">
        <f aca="false">(F39*1.2*4.24+F39*1.28)</f>
        <v>6.368</v>
      </c>
      <c r="H39" s="8" t="n">
        <f aca="false">H38</f>
        <v>15</v>
      </c>
      <c r="I39" s="1" t="n">
        <f aca="false">G39*H39</f>
        <v>95.52</v>
      </c>
      <c r="J39" s="10" t="n">
        <f aca="false">IF(I39="","",I39*(1+Paramètres!$B$2))</f>
        <v>114.624</v>
      </c>
      <c r="K39" s="10" t="n">
        <f aca="false">I39*0.1</f>
        <v>9.552</v>
      </c>
      <c r="L39" s="10" t="n">
        <f aca="false">I39-K39-G39</f>
        <v>79.6</v>
      </c>
      <c r="M39" s="11" t="n">
        <f aca="false">L39/I39</f>
        <v>0.833333333333333</v>
      </c>
      <c r="N39" s="6"/>
      <c r="O39" s="10" t="n">
        <f aca="false">IF(J39="","",ROUNDUP(J39+0.01,0)-0.01)</f>
        <v>114.99</v>
      </c>
      <c r="P39" s="10" t="n">
        <f aca="false">IF(O39="","",O39/(1+Paramètres!$B$2))</f>
        <v>95.825</v>
      </c>
      <c r="Q39" s="10" t="n">
        <f aca="false">IF(P39="","",P39*0.1)</f>
        <v>9.5825</v>
      </c>
      <c r="R39" s="12" t="n">
        <v>1</v>
      </c>
    </row>
    <row r="40" customFormat="false" ht="15" hidden="false" customHeight="true" outlineLevel="0" collapsed="false">
      <c r="A40" s="6" t="s">
        <v>83</v>
      </c>
      <c r="B40" s="6" t="s">
        <v>79</v>
      </c>
      <c r="C40" s="6" t="s">
        <v>35</v>
      </c>
      <c r="D40" s="7" t="n">
        <v>150</v>
      </c>
      <c r="E40" s="7" t="n">
        <v>100</v>
      </c>
      <c r="F40" s="8" t="n">
        <f aca="false">D40*E40/10000</f>
        <v>1.5</v>
      </c>
      <c r="G40" s="9" t="n">
        <f aca="false">(F40*1.2*4.24+F40*1.28)</f>
        <v>9.552</v>
      </c>
      <c r="H40" s="8" t="n">
        <f aca="false">H39</f>
        <v>15</v>
      </c>
      <c r="I40" s="1" t="n">
        <f aca="false">G40*H40</f>
        <v>143.28</v>
      </c>
      <c r="J40" s="10" t="n">
        <f aca="false">IF(I40="","",I40*(1+Paramètres!$B$2))</f>
        <v>171.936</v>
      </c>
      <c r="K40" s="10" t="n">
        <f aca="false">I40*0.1</f>
        <v>14.328</v>
      </c>
      <c r="L40" s="10" t="n">
        <f aca="false">I40-K40-G40</f>
        <v>119.4</v>
      </c>
      <c r="M40" s="11" t="n">
        <f aca="false">L40/I40</f>
        <v>0.833333333333333</v>
      </c>
      <c r="N40" s="6"/>
      <c r="O40" s="10" t="n">
        <f aca="false">IF(J40="","",ROUNDUP(J40+0.01,0)-0.01)</f>
        <v>171.99</v>
      </c>
      <c r="P40" s="10" t="n">
        <f aca="false">IF(O40="","",O40/(1+Paramètres!$B$2))</f>
        <v>143.325</v>
      </c>
      <c r="Q40" s="10" t="n">
        <f aca="false">IF(P40="","",P40*0.1)</f>
        <v>14.3325</v>
      </c>
      <c r="R40" s="12" t="n">
        <v>1</v>
      </c>
    </row>
    <row r="41" customFormat="false" ht="15" hidden="false" customHeight="true" outlineLevel="0" collapsed="false">
      <c r="A41" s="6" t="s">
        <v>84</v>
      </c>
      <c r="B41" s="6" t="s">
        <v>79</v>
      </c>
      <c r="C41" s="6" t="s">
        <v>37</v>
      </c>
      <c r="D41" s="7" t="n">
        <v>200</v>
      </c>
      <c r="E41" s="7" t="n">
        <v>100</v>
      </c>
      <c r="F41" s="8" t="n">
        <f aca="false">D41*E41/10000</f>
        <v>2</v>
      </c>
      <c r="G41" s="9" t="n">
        <f aca="false">(F41*1.2*4.24+F41*1.28)</f>
        <v>12.736</v>
      </c>
      <c r="H41" s="8" t="n">
        <f aca="false">H40</f>
        <v>15</v>
      </c>
      <c r="I41" s="1" t="n">
        <f aca="false">G41*H41</f>
        <v>191.04</v>
      </c>
      <c r="J41" s="10" t="n">
        <f aca="false">IF(I41="","",I41*(1+Paramètres!$B$2))</f>
        <v>229.248</v>
      </c>
      <c r="K41" s="10" t="n">
        <f aca="false">I41*0.1</f>
        <v>19.104</v>
      </c>
      <c r="L41" s="10" t="n">
        <f aca="false">I41-K41-G41</f>
        <v>159.2</v>
      </c>
      <c r="M41" s="11" t="n">
        <f aca="false">L41/I41</f>
        <v>0.833333333333333</v>
      </c>
      <c r="N41" s="6"/>
      <c r="O41" s="10" t="n">
        <f aca="false">IF(J41="","",ROUNDUP(J41+0.01,0)-0.01)</f>
        <v>229.99</v>
      </c>
      <c r="P41" s="10" t="n">
        <f aca="false">IF(O41="","",O41/(1+Paramètres!$B$2))</f>
        <v>191.658333333333</v>
      </c>
      <c r="Q41" s="10" t="n">
        <f aca="false">IF(P41="","",P41*0.1)</f>
        <v>19.1658333333333</v>
      </c>
      <c r="R41" s="12" t="n">
        <v>1</v>
      </c>
    </row>
    <row r="42" customFormat="false" ht="15" hidden="false" customHeight="true" outlineLevel="0" collapsed="false">
      <c r="A42" s="6" t="s">
        <v>85</v>
      </c>
      <c r="B42" s="6" t="s">
        <v>79</v>
      </c>
      <c r="C42" s="6" t="s">
        <v>39</v>
      </c>
      <c r="D42" s="7" t="n">
        <v>250</v>
      </c>
      <c r="E42" s="7" t="n">
        <v>100</v>
      </c>
      <c r="F42" s="8" t="n">
        <f aca="false">D42*E42/10000</f>
        <v>2.5</v>
      </c>
      <c r="G42" s="9" t="n">
        <f aca="false">(F42*1.2*4.24+F42*1.28)</f>
        <v>15.92</v>
      </c>
      <c r="H42" s="8" t="n">
        <f aca="false">H41</f>
        <v>15</v>
      </c>
      <c r="I42" s="1" t="n">
        <f aca="false">G42*H42</f>
        <v>238.8</v>
      </c>
      <c r="J42" s="10" t="n">
        <f aca="false">IF(I42="","",I42*(1+Paramètres!$B$2))</f>
        <v>286.56</v>
      </c>
      <c r="K42" s="10" t="n">
        <f aca="false">I42*0.1</f>
        <v>23.88</v>
      </c>
      <c r="L42" s="10" t="n">
        <f aca="false">I42-K42-G42</f>
        <v>199</v>
      </c>
      <c r="M42" s="11" t="n">
        <f aca="false">L42/I42</f>
        <v>0.833333333333333</v>
      </c>
      <c r="N42" s="6"/>
      <c r="O42" s="10" t="n">
        <f aca="false">IF(J42="","",ROUNDUP(J42+0.01,0)-0.01)</f>
        <v>286.99</v>
      </c>
      <c r="P42" s="10" t="n">
        <f aca="false">IF(O42="","",O42/(1+Paramètres!$B$2))</f>
        <v>239.158333333333</v>
      </c>
      <c r="Q42" s="10" t="n">
        <f aca="false">IF(P42="","",P42*0.1)</f>
        <v>23.9158333333333</v>
      </c>
      <c r="R42" s="12" t="n">
        <v>1</v>
      </c>
    </row>
    <row r="43" customFormat="false" ht="15" hidden="false" customHeight="true" outlineLevel="0" collapsed="false">
      <c r="A43" s="6" t="s">
        <v>86</v>
      </c>
      <c r="B43" s="6" t="s">
        <v>79</v>
      </c>
      <c r="C43" s="6" t="s">
        <v>41</v>
      </c>
      <c r="D43" s="7" t="n">
        <v>300</v>
      </c>
      <c r="E43" s="7" t="n">
        <v>100</v>
      </c>
      <c r="F43" s="8" t="n">
        <f aca="false">D43*E43/10000</f>
        <v>3</v>
      </c>
      <c r="G43" s="9" t="n">
        <f aca="false">(F43*1.2*4.24+F43*1.28)</f>
        <v>19.104</v>
      </c>
      <c r="H43" s="8" t="n">
        <f aca="false">H42</f>
        <v>15</v>
      </c>
      <c r="I43" s="1" t="n">
        <f aca="false">G43*H43</f>
        <v>286.56</v>
      </c>
      <c r="J43" s="10" t="n">
        <f aca="false">IF(I43="","",I43*(1+Paramètres!$B$2))</f>
        <v>343.872</v>
      </c>
      <c r="K43" s="10" t="n">
        <f aca="false">I43*0.1</f>
        <v>28.656</v>
      </c>
      <c r="L43" s="10" t="n">
        <f aca="false">I43-K43-G43</f>
        <v>238.8</v>
      </c>
      <c r="M43" s="11" t="n">
        <f aca="false">L43/I43</f>
        <v>0.833333333333333</v>
      </c>
      <c r="N43" s="6"/>
      <c r="O43" s="10" t="n">
        <f aca="false">IF(J43="","",ROUNDUP(J43+0.01,0)-0.01)</f>
        <v>343.99</v>
      </c>
      <c r="P43" s="10" t="n">
        <f aca="false">IF(O43="","",O43/(1+Paramètres!$B$2))</f>
        <v>286.658333333333</v>
      </c>
      <c r="Q43" s="10" t="n">
        <f aca="false">IF(P43="","",P43*0.1)</f>
        <v>28.6658333333333</v>
      </c>
      <c r="R43" s="12" t="n">
        <v>1</v>
      </c>
    </row>
    <row r="44" customFormat="false" ht="15" hidden="false" customHeight="true" outlineLevel="0" collapsed="false">
      <c r="A44" s="6" t="s">
        <v>87</v>
      </c>
      <c r="B44" s="6" t="s">
        <v>79</v>
      </c>
      <c r="C44" s="6" t="s">
        <v>43</v>
      </c>
      <c r="D44" s="7" t="n">
        <v>100</v>
      </c>
      <c r="E44" s="7" t="n">
        <v>130</v>
      </c>
      <c r="F44" s="8" t="n">
        <f aca="false">D44*E44/10000</f>
        <v>1.3</v>
      </c>
      <c r="G44" s="9" t="n">
        <f aca="false">(F44*1.2*4.24+F44*1.28)</f>
        <v>8.2784</v>
      </c>
      <c r="H44" s="8" t="n">
        <f aca="false">H43</f>
        <v>15</v>
      </c>
      <c r="I44" s="1" t="n">
        <f aca="false">G44*H44</f>
        <v>124.176</v>
      </c>
      <c r="J44" s="10" t="n">
        <f aca="false">IF(I44="","",I44*(1+Paramètres!$B$2))</f>
        <v>149.0112</v>
      </c>
      <c r="K44" s="10" t="n">
        <f aca="false">I44*0.1</f>
        <v>12.4176</v>
      </c>
      <c r="L44" s="10" t="n">
        <f aca="false">I44-K44-G44</f>
        <v>103.48</v>
      </c>
      <c r="M44" s="11" t="n">
        <f aca="false">L44/I44</f>
        <v>0.833333333333333</v>
      </c>
      <c r="N44" s="6"/>
      <c r="O44" s="10" t="n">
        <f aca="false">IF(J44="","",ROUNDUP(J44+0.01,0)-0.01)</f>
        <v>149.99</v>
      </c>
      <c r="P44" s="10" t="n">
        <f aca="false">IF(O44="","",O44/(1+Paramètres!$B$2))</f>
        <v>124.991666666667</v>
      </c>
      <c r="Q44" s="10" t="n">
        <f aca="false">IF(P44="","",P44*0.1)</f>
        <v>12.4991666666667</v>
      </c>
      <c r="R44" s="12" t="n">
        <v>1</v>
      </c>
    </row>
    <row r="45" customFormat="false" ht="15" hidden="false" customHeight="true" outlineLevel="0" collapsed="false">
      <c r="A45" s="6" t="s">
        <v>88</v>
      </c>
      <c r="B45" s="6" t="s">
        <v>79</v>
      </c>
      <c r="C45" s="6" t="s">
        <v>45</v>
      </c>
      <c r="D45" s="7" t="n">
        <v>150</v>
      </c>
      <c r="E45" s="7" t="n">
        <v>130</v>
      </c>
      <c r="F45" s="8" t="n">
        <f aca="false">D45*E45/10000</f>
        <v>1.95</v>
      </c>
      <c r="G45" s="9" t="n">
        <f aca="false">(F45*1.2*4.24+F45*1.28)</f>
        <v>12.4176</v>
      </c>
      <c r="H45" s="8" t="n">
        <f aca="false">H44</f>
        <v>15</v>
      </c>
      <c r="I45" s="1" t="n">
        <f aca="false">G45*H45</f>
        <v>186.264</v>
      </c>
      <c r="J45" s="10" t="n">
        <f aca="false">IF(I45="","",I45*(1+Paramètres!$B$2))</f>
        <v>223.5168</v>
      </c>
      <c r="K45" s="10" t="n">
        <f aca="false">I45*0.1</f>
        <v>18.6264</v>
      </c>
      <c r="L45" s="10" t="n">
        <f aca="false">I45-K45-G45</f>
        <v>155.22</v>
      </c>
      <c r="M45" s="11" t="n">
        <f aca="false">L45/I45</f>
        <v>0.833333333333334</v>
      </c>
      <c r="N45" s="6"/>
      <c r="O45" s="10" t="n">
        <f aca="false">IF(J45="","",ROUNDUP(J45+0.01,0)-0.01)</f>
        <v>223.99</v>
      </c>
      <c r="P45" s="10" t="n">
        <f aca="false">IF(O45="","",O45/(1+Paramètres!$B$2))</f>
        <v>186.658333333333</v>
      </c>
      <c r="Q45" s="10" t="n">
        <f aca="false">IF(P45="","",P45*0.1)</f>
        <v>18.6658333333333</v>
      </c>
      <c r="R45" s="12" t="n">
        <v>1</v>
      </c>
    </row>
    <row r="46" customFormat="false" ht="15" hidden="false" customHeight="true" outlineLevel="0" collapsed="false">
      <c r="A46" s="6" t="s">
        <v>89</v>
      </c>
      <c r="B46" s="6" t="s">
        <v>79</v>
      </c>
      <c r="C46" s="6" t="s">
        <v>47</v>
      </c>
      <c r="D46" s="7" t="n">
        <v>200</v>
      </c>
      <c r="E46" s="7" t="n">
        <v>130</v>
      </c>
      <c r="F46" s="8" t="n">
        <f aca="false">D46*E46/10000</f>
        <v>2.6</v>
      </c>
      <c r="G46" s="9" t="n">
        <f aca="false">(F46*1.2*4.24+F46*1.28)</f>
        <v>16.5568</v>
      </c>
      <c r="H46" s="8" t="n">
        <f aca="false">H45</f>
        <v>15</v>
      </c>
      <c r="I46" s="1" t="n">
        <f aca="false">G46*H46</f>
        <v>248.352</v>
      </c>
      <c r="J46" s="10" t="n">
        <f aca="false">IF(I46="","",I46*(1+Paramètres!$B$2))</f>
        <v>298.0224</v>
      </c>
      <c r="K46" s="10" t="n">
        <f aca="false">I46*0.1</f>
        <v>24.8352</v>
      </c>
      <c r="L46" s="10" t="n">
        <f aca="false">I46-K46-G46</f>
        <v>206.96</v>
      </c>
      <c r="M46" s="11" t="n">
        <f aca="false">L46/I46</f>
        <v>0.833333333333333</v>
      </c>
      <c r="N46" s="6"/>
      <c r="O46" s="10" t="n">
        <f aca="false">IF(J46="","",ROUNDUP(J46+0.01,0)-0.01)</f>
        <v>298.99</v>
      </c>
      <c r="P46" s="10" t="n">
        <f aca="false">IF(O46="","",O46/(1+Paramètres!$B$2))</f>
        <v>249.158333333333</v>
      </c>
      <c r="Q46" s="10" t="n">
        <f aca="false">IF(P46="","",P46*0.1)</f>
        <v>24.9158333333333</v>
      </c>
      <c r="R46" s="12" t="n">
        <v>1</v>
      </c>
    </row>
    <row r="47" customFormat="false" ht="15" hidden="false" customHeight="true" outlineLevel="0" collapsed="false">
      <c r="A47" s="6" t="s">
        <v>90</v>
      </c>
      <c r="B47" s="6" t="s">
        <v>79</v>
      </c>
      <c r="C47" s="6" t="s">
        <v>49</v>
      </c>
      <c r="D47" s="7" t="n">
        <v>250</v>
      </c>
      <c r="E47" s="7" t="n">
        <v>130</v>
      </c>
      <c r="F47" s="8" t="n">
        <f aca="false">D47*E47/10000</f>
        <v>3.25</v>
      </c>
      <c r="G47" s="9" t="n">
        <f aca="false">(F47*1.2*4.24+F47*1.28)</f>
        <v>20.696</v>
      </c>
      <c r="H47" s="8" t="n">
        <f aca="false">H46</f>
        <v>15</v>
      </c>
      <c r="I47" s="1" t="n">
        <f aca="false">G47*H47</f>
        <v>310.44</v>
      </c>
      <c r="J47" s="10" t="n">
        <f aca="false">IF(I47="","",I47*(1+Paramètres!$B$2))</f>
        <v>372.528</v>
      </c>
      <c r="K47" s="10" t="n">
        <f aca="false">I47*0.1</f>
        <v>31.044</v>
      </c>
      <c r="L47" s="10" t="n">
        <f aca="false">I47-K47-G47</f>
        <v>258.7</v>
      </c>
      <c r="M47" s="11" t="n">
        <f aca="false">L47/I47</f>
        <v>0.833333333333333</v>
      </c>
      <c r="N47" s="6"/>
      <c r="O47" s="10" t="n">
        <f aca="false">IF(J47="","",ROUNDUP(J47+0.01,0)-0.01)</f>
        <v>372.99</v>
      </c>
      <c r="P47" s="10" t="n">
        <f aca="false">IF(O47="","",O47/(1+Paramètres!$B$2))</f>
        <v>310.825</v>
      </c>
      <c r="Q47" s="10" t="n">
        <f aca="false">IF(P47="","",P47*0.1)</f>
        <v>31.0825</v>
      </c>
      <c r="R47" s="12" t="n">
        <v>1</v>
      </c>
    </row>
    <row r="48" customFormat="false" ht="15" hidden="false" customHeight="true" outlineLevel="0" collapsed="false">
      <c r="A48" s="6" t="s">
        <v>91</v>
      </c>
      <c r="B48" s="6" t="s">
        <v>79</v>
      </c>
      <c r="C48" s="6" t="s">
        <v>51</v>
      </c>
      <c r="D48" s="7" t="n">
        <v>300</v>
      </c>
      <c r="E48" s="7" t="n">
        <v>130</v>
      </c>
      <c r="F48" s="8" t="n">
        <f aca="false">D48*E48/10000</f>
        <v>3.9</v>
      </c>
      <c r="G48" s="9" t="n">
        <f aca="false">(F48*1.2*4.24+F48*1.28)</f>
        <v>24.8352</v>
      </c>
      <c r="H48" s="8" t="n">
        <f aca="false">H47</f>
        <v>15</v>
      </c>
      <c r="I48" s="1" t="n">
        <f aca="false">G48*H48</f>
        <v>372.528</v>
      </c>
      <c r="J48" s="10" t="n">
        <f aca="false">IF(I48="","",I48*(1+Paramètres!$B$2))</f>
        <v>447.0336</v>
      </c>
      <c r="K48" s="10" t="n">
        <f aca="false">I48*0.1</f>
        <v>37.2528</v>
      </c>
      <c r="L48" s="10" t="n">
        <f aca="false">I48-K48-G48</f>
        <v>310.44</v>
      </c>
      <c r="M48" s="11" t="n">
        <f aca="false">L48/I48</f>
        <v>0.833333333333334</v>
      </c>
      <c r="N48" s="6"/>
      <c r="O48" s="10" t="n">
        <f aca="false">IF(J48="","",ROUNDUP(J48+0.01,0)-0.01)</f>
        <v>447.99</v>
      </c>
      <c r="P48" s="10" t="n">
        <f aca="false">IF(O48="","",O48/(1+Paramètres!$B$2))</f>
        <v>373.325</v>
      </c>
      <c r="Q48" s="10" t="n">
        <f aca="false">IF(P48="","",P48*0.1)</f>
        <v>37.3325</v>
      </c>
      <c r="R48" s="12" t="n">
        <v>1</v>
      </c>
    </row>
    <row r="49" customFormat="false" ht="15" hidden="false" customHeight="true" outlineLevel="0" collapsed="false">
      <c r="A49" s="6" t="s">
        <v>92</v>
      </c>
      <c r="B49" s="6" t="s">
        <v>79</v>
      </c>
      <c r="C49" s="6" t="s">
        <v>53</v>
      </c>
      <c r="D49" s="7" t="n">
        <v>150</v>
      </c>
      <c r="E49" s="7" t="n">
        <v>150</v>
      </c>
      <c r="F49" s="8" t="n">
        <f aca="false">D49*E49/10000</f>
        <v>2.25</v>
      </c>
      <c r="G49" s="9" t="n">
        <f aca="false">(F49*1.2*4.24+F49*1.28)</f>
        <v>14.328</v>
      </c>
      <c r="H49" s="8" t="n">
        <f aca="false">H48</f>
        <v>15</v>
      </c>
      <c r="I49" s="1" t="n">
        <f aca="false">G49*H49</f>
        <v>214.92</v>
      </c>
      <c r="J49" s="10" t="n">
        <f aca="false">IF(I49="","",I49*(1+Paramètres!$B$2))</f>
        <v>257.904</v>
      </c>
      <c r="K49" s="10" t="n">
        <f aca="false">I49*0.1</f>
        <v>21.492</v>
      </c>
      <c r="L49" s="10" t="n">
        <f aca="false">I49-K49-G49</f>
        <v>179.1</v>
      </c>
      <c r="M49" s="11" t="n">
        <f aca="false">L49/I49</f>
        <v>0.833333333333333</v>
      </c>
      <c r="N49" s="6"/>
      <c r="O49" s="10" t="n">
        <f aca="false">IF(J49="","",ROUNDUP(J49+0.01,0)-0.01)</f>
        <v>257.99</v>
      </c>
      <c r="P49" s="10" t="n">
        <f aca="false">IF(O49="","",O49/(1+Paramètres!$B$2))</f>
        <v>214.991666666667</v>
      </c>
      <c r="Q49" s="10" t="n">
        <f aca="false">IF(P49="","",P49*0.1)</f>
        <v>21.4991666666667</v>
      </c>
      <c r="R49" s="12" t="n">
        <v>1</v>
      </c>
    </row>
    <row r="50" customFormat="false" ht="15" hidden="false" customHeight="true" outlineLevel="0" collapsed="false">
      <c r="A50" s="6" t="s">
        <v>93</v>
      </c>
      <c r="B50" s="6" t="s">
        <v>79</v>
      </c>
      <c r="C50" s="6" t="s">
        <v>55</v>
      </c>
      <c r="D50" s="7" t="n">
        <v>200</v>
      </c>
      <c r="E50" s="7" t="n">
        <v>150</v>
      </c>
      <c r="F50" s="8" t="n">
        <f aca="false">D50*E50/10000</f>
        <v>3</v>
      </c>
      <c r="G50" s="9" t="n">
        <f aca="false">(F50*1.2*4.24+F50*1.28)</f>
        <v>19.104</v>
      </c>
      <c r="H50" s="8" t="n">
        <f aca="false">H49</f>
        <v>15</v>
      </c>
      <c r="I50" s="1" t="n">
        <f aca="false">G50*H50</f>
        <v>286.56</v>
      </c>
      <c r="J50" s="10" t="n">
        <f aca="false">IF(I50="","",I50*(1+Paramètres!$B$2))</f>
        <v>343.872</v>
      </c>
      <c r="K50" s="10" t="n">
        <f aca="false">I50*0.1</f>
        <v>28.656</v>
      </c>
      <c r="L50" s="10" t="n">
        <f aca="false">I50-K50-G50</f>
        <v>238.8</v>
      </c>
      <c r="M50" s="11" t="n">
        <f aca="false">L50/I50</f>
        <v>0.833333333333333</v>
      </c>
      <c r="N50" s="6"/>
      <c r="O50" s="10" t="n">
        <f aca="false">IF(J50="","",ROUNDUP(J50+0.01,0)-0.01)</f>
        <v>343.99</v>
      </c>
      <c r="P50" s="10" t="n">
        <f aca="false">IF(O50="","",O50/(1+Paramètres!$B$2))</f>
        <v>286.658333333333</v>
      </c>
      <c r="Q50" s="10" t="n">
        <f aca="false">IF(P50="","",P50*0.1)</f>
        <v>28.6658333333333</v>
      </c>
      <c r="R50" s="12" t="n">
        <v>1</v>
      </c>
    </row>
    <row r="51" customFormat="false" ht="15" hidden="false" customHeight="true" outlineLevel="0" collapsed="false">
      <c r="A51" s="6" t="s">
        <v>94</v>
      </c>
      <c r="B51" s="6" t="s">
        <v>79</v>
      </c>
      <c r="C51" s="6" t="s">
        <v>57</v>
      </c>
      <c r="D51" s="7" t="n">
        <v>250</v>
      </c>
      <c r="E51" s="7" t="n">
        <v>150</v>
      </c>
      <c r="F51" s="8" t="n">
        <f aca="false">D51*E51/10000</f>
        <v>3.75</v>
      </c>
      <c r="G51" s="9" t="n">
        <f aca="false">(F51*1.2*4.24+F51*1.28)</f>
        <v>23.88</v>
      </c>
      <c r="H51" s="8" t="n">
        <f aca="false">H50</f>
        <v>15</v>
      </c>
      <c r="I51" s="1" t="n">
        <f aca="false">G51*H51</f>
        <v>358.2</v>
      </c>
      <c r="J51" s="10" t="n">
        <f aca="false">IF(I51="","",I51*(1+Paramètres!$B$2))</f>
        <v>429.84</v>
      </c>
      <c r="K51" s="10" t="n">
        <f aca="false">I51*0.1</f>
        <v>35.82</v>
      </c>
      <c r="L51" s="10" t="n">
        <f aca="false">I51-K51-G51</f>
        <v>298.5</v>
      </c>
      <c r="M51" s="11" t="n">
        <f aca="false">L51/I51</f>
        <v>0.833333333333333</v>
      </c>
      <c r="N51" s="6"/>
      <c r="O51" s="10" t="n">
        <f aca="false">IF(J51="","",ROUNDUP(J51+0.01,0)-0.01)</f>
        <v>429.99</v>
      </c>
      <c r="P51" s="10" t="n">
        <f aca="false">IF(O51="","",O51/(1+Paramètres!$B$2))</f>
        <v>358.325</v>
      </c>
      <c r="Q51" s="10" t="n">
        <f aca="false">IF(P51="","",P51*0.1)</f>
        <v>35.8325</v>
      </c>
      <c r="R51" s="12" t="n">
        <v>1</v>
      </c>
    </row>
    <row r="52" customFormat="false" ht="15" hidden="false" customHeight="true" outlineLevel="0" collapsed="false">
      <c r="A52" s="6" t="s">
        <v>95</v>
      </c>
      <c r="B52" s="6" t="s">
        <v>79</v>
      </c>
      <c r="C52" s="6" t="s">
        <v>59</v>
      </c>
      <c r="D52" s="7" t="n">
        <v>300</v>
      </c>
      <c r="E52" s="7" t="n">
        <v>150</v>
      </c>
      <c r="F52" s="8" t="n">
        <f aca="false">D52*E52/10000</f>
        <v>4.5</v>
      </c>
      <c r="G52" s="9" t="n">
        <f aca="false">(F52*1.2*4.24+F52*1.28)</f>
        <v>28.656</v>
      </c>
      <c r="H52" s="8" t="n">
        <f aca="false">H51</f>
        <v>15</v>
      </c>
      <c r="I52" s="1" t="n">
        <f aca="false">G52*H52</f>
        <v>429.84</v>
      </c>
      <c r="J52" s="10" t="n">
        <f aca="false">IF(I52="","",I52*(1+Paramètres!$B$2))</f>
        <v>515.808</v>
      </c>
      <c r="K52" s="10" t="n">
        <f aca="false">I52*0.1</f>
        <v>42.984</v>
      </c>
      <c r="L52" s="10" t="n">
        <f aca="false">I52-K52-G52</f>
        <v>358.2</v>
      </c>
      <c r="M52" s="11" t="n">
        <f aca="false">L52/I52</f>
        <v>0.833333333333333</v>
      </c>
      <c r="N52" s="6"/>
      <c r="O52" s="10" t="n">
        <f aca="false">IF(J52="","",ROUNDUP(J52+0.01,0)-0.01)</f>
        <v>515.99</v>
      </c>
      <c r="P52" s="10" t="n">
        <f aca="false">IF(O52="","",O52/(1+Paramètres!$B$2))</f>
        <v>429.991666666667</v>
      </c>
      <c r="Q52" s="10" t="n">
        <f aca="false">IF(P52="","",P52*0.1)</f>
        <v>42.9991666666667</v>
      </c>
      <c r="R52" s="12" t="n">
        <v>1</v>
      </c>
    </row>
    <row r="53" customFormat="false" ht="15" hidden="false" customHeight="true" outlineLevel="0" collapsed="false">
      <c r="A53" s="6" t="s">
        <v>96</v>
      </c>
      <c r="B53" s="6" t="s">
        <v>97</v>
      </c>
      <c r="C53" s="6" t="s">
        <v>98</v>
      </c>
      <c r="D53" s="7" t="n">
        <v>5</v>
      </c>
      <c r="E53" s="7" t="n">
        <v>5</v>
      </c>
      <c r="F53" s="8" t="n">
        <f aca="false">D53*E53/10000</f>
        <v>0.0025</v>
      </c>
      <c r="G53" s="9" t="n">
        <f aca="false">(F53*1.2*5.15+F53*1.28)</f>
        <v>0.01865</v>
      </c>
      <c r="H53" s="8" t="n">
        <v>20</v>
      </c>
      <c r="I53" s="1" t="n">
        <f aca="false">G53*H53</f>
        <v>0.373</v>
      </c>
      <c r="J53" s="10" t="n">
        <f aca="false">IF(I53="","",I53*(1+Paramètres!$B$2))</f>
        <v>0.4476</v>
      </c>
      <c r="K53" s="10" t="n">
        <f aca="false">I53*0.1</f>
        <v>0.0373</v>
      </c>
      <c r="L53" s="10" t="n">
        <f aca="false">I53-K53-G53</f>
        <v>0.31705</v>
      </c>
      <c r="M53" s="11" t="n">
        <f aca="false">L53/I53</f>
        <v>0.85</v>
      </c>
      <c r="N53" s="6"/>
      <c r="O53" s="13" t="n">
        <v>0.49</v>
      </c>
      <c r="P53" s="10" t="n">
        <f aca="false">IF(O53="","",O53/(1+Paramètres!$B$2))</f>
        <v>0.408333333333333</v>
      </c>
      <c r="Q53" s="10" t="n">
        <f aca="false">IF(P53="","",P53*0.1)</f>
        <v>0.0408333333333333</v>
      </c>
      <c r="R53" s="12" t="n">
        <v>5</v>
      </c>
    </row>
    <row r="54" customFormat="false" ht="15" hidden="false" customHeight="true" outlineLevel="0" collapsed="false">
      <c r="A54" s="6" t="s">
        <v>99</v>
      </c>
      <c r="B54" s="6" t="s">
        <v>97</v>
      </c>
      <c r="C54" s="6" t="s">
        <v>100</v>
      </c>
      <c r="D54" s="7" t="n">
        <v>10</v>
      </c>
      <c r="E54" s="7" t="n">
        <v>10</v>
      </c>
      <c r="F54" s="8" t="n">
        <f aca="false">D54*E54/10000</f>
        <v>0.01</v>
      </c>
      <c r="G54" s="9" t="n">
        <f aca="false">(F54*1.2*5.15+F54*1.28)</f>
        <v>0.0746</v>
      </c>
      <c r="H54" s="8" t="n">
        <v>20</v>
      </c>
      <c r="I54" s="1" t="n">
        <f aca="false">G54*H54</f>
        <v>1.492</v>
      </c>
      <c r="J54" s="10" t="n">
        <f aca="false">IF(I54="","",I54*(1+Paramètres!$B$2))</f>
        <v>1.7904</v>
      </c>
      <c r="K54" s="10" t="n">
        <f aca="false">I54*0.1</f>
        <v>0.1492</v>
      </c>
      <c r="L54" s="10" t="n">
        <f aca="false">I54-K54-G54</f>
        <v>1.2682</v>
      </c>
      <c r="M54" s="11" t="n">
        <f aca="false">L54/I54</f>
        <v>0.85</v>
      </c>
      <c r="N54" s="6"/>
      <c r="O54" s="10" t="n">
        <f aca="false">IF(J54="","",ROUNDUP(J54+0.01,0)-0.01)</f>
        <v>1.99</v>
      </c>
      <c r="P54" s="10" t="n">
        <f aca="false">IF(O54="","",O54/(1+Paramètres!$B$2))</f>
        <v>1.65833333333333</v>
      </c>
      <c r="Q54" s="10" t="n">
        <f aca="false">IF(P54="","",P54*0.1)</f>
        <v>0.165833333333333</v>
      </c>
      <c r="R54" s="12" t="n">
        <v>1</v>
      </c>
    </row>
    <row r="55" customFormat="false" ht="15" hidden="false" customHeight="true" outlineLevel="0" collapsed="false">
      <c r="A55" s="6" t="s">
        <v>101</v>
      </c>
      <c r="B55" s="6" t="s">
        <v>97</v>
      </c>
      <c r="C55" s="6" t="s">
        <v>102</v>
      </c>
      <c r="D55" s="7" t="n">
        <v>20</v>
      </c>
      <c r="E55" s="7" t="n">
        <v>20</v>
      </c>
      <c r="F55" s="8" t="n">
        <f aca="false">D55*E55/10000</f>
        <v>0.04</v>
      </c>
      <c r="G55" s="9" t="n">
        <f aca="false">(F55*1.2*5.15+F55*1.28)</f>
        <v>0.2984</v>
      </c>
      <c r="H55" s="8" t="n">
        <v>15</v>
      </c>
      <c r="I55" s="1" t="n">
        <f aca="false">G55*H55</f>
        <v>4.476</v>
      </c>
      <c r="J55" s="10" t="n">
        <f aca="false">IF(I55="","",I55*(1+Paramètres!$B$2))</f>
        <v>5.3712</v>
      </c>
      <c r="K55" s="10" t="n">
        <f aca="false">I55*0.1</f>
        <v>0.4476</v>
      </c>
      <c r="L55" s="10" t="n">
        <f aca="false">I55-K55-G55</f>
        <v>3.73</v>
      </c>
      <c r="M55" s="11" t="n">
        <f aca="false">L55/I55</f>
        <v>0.833333333333333</v>
      </c>
      <c r="N55" s="6"/>
      <c r="O55" s="10" t="n">
        <f aca="false">IF(J55="","",ROUNDUP(J55+0.01,0)-0.01)</f>
        <v>5.99</v>
      </c>
      <c r="P55" s="10" t="n">
        <f aca="false">IF(O55="","",O55/(1+Paramètres!$B$2))</f>
        <v>4.99166666666667</v>
      </c>
      <c r="Q55" s="10" t="n">
        <f aca="false">IF(P55="","",P55*0.1)</f>
        <v>0.499166666666667</v>
      </c>
      <c r="R55" s="12" t="n">
        <v>1</v>
      </c>
    </row>
    <row r="56" customFormat="false" ht="15" hidden="false" customHeight="true" outlineLevel="0" collapsed="false">
      <c r="A56" s="6" t="s">
        <v>103</v>
      </c>
      <c r="B56" s="6" t="s">
        <v>97</v>
      </c>
      <c r="C56" s="6" t="s">
        <v>104</v>
      </c>
      <c r="D56" s="7" t="n">
        <v>30</v>
      </c>
      <c r="E56" s="7" t="n">
        <v>30</v>
      </c>
      <c r="F56" s="8" t="n">
        <f aca="false">D56*E56/10000</f>
        <v>0.09</v>
      </c>
      <c r="G56" s="9" t="n">
        <f aca="false">(F56*1.2*5.15+F56*1.28)</f>
        <v>0.6714</v>
      </c>
      <c r="H56" s="8" t="n">
        <f aca="false">H55</f>
        <v>15</v>
      </c>
      <c r="I56" s="1" t="n">
        <f aca="false">G56*H56</f>
        <v>10.071</v>
      </c>
      <c r="J56" s="10" t="n">
        <f aca="false">IF(I56="","",I56*(1+Paramètres!$B$2))</f>
        <v>12.0852</v>
      </c>
      <c r="K56" s="10" t="n">
        <f aca="false">I56*0.1</f>
        <v>1.0071</v>
      </c>
      <c r="L56" s="10" t="n">
        <f aca="false">I56-K56-G56</f>
        <v>8.3925</v>
      </c>
      <c r="M56" s="11" t="n">
        <f aca="false">L56/I56</f>
        <v>0.833333333333333</v>
      </c>
      <c r="N56" s="6"/>
      <c r="O56" s="10" t="n">
        <f aca="false">IF(J56="","",ROUNDUP(J56+0.01,0)-0.01)</f>
        <v>12.99</v>
      </c>
      <c r="P56" s="10" t="n">
        <f aca="false">IF(O56="","",O56/(1+Paramètres!$B$2))</f>
        <v>10.825</v>
      </c>
      <c r="Q56" s="10" t="n">
        <f aca="false">IF(P56="","",P56*0.1)</f>
        <v>1.0825</v>
      </c>
      <c r="R56" s="12" t="n">
        <v>1</v>
      </c>
    </row>
    <row r="57" customFormat="false" ht="15" hidden="false" customHeight="true" outlineLevel="0" collapsed="false">
      <c r="A57" s="6" t="s">
        <v>105</v>
      </c>
      <c r="B57" s="6" t="s">
        <v>97</v>
      </c>
      <c r="C57" s="6" t="s">
        <v>106</v>
      </c>
      <c r="D57" s="7" t="n">
        <v>40</v>
      </c>
      <c r="E57" s="7" t="n">
        <v>40</v>
      </c>
      <c r="F57" s="8" t="n">
        <f aca="false">D57*E57/10000</f>
        <v>0.16</v>
      </c>
      <c r="G57" s="9" t="n">
        <f aca="false">(F57*1.2*5.15+F57*1.28)</f>
        <v>1.1936</v>
      </c>
      <c r="H57" s="8" t="n">
        <f aca="false">H56</f>
        <v>15</v>
      </c>
      <c r="I57" s="1" t="n">
        <f aca="false">G57*H57</f>
        <v>17.904</v>
      </c>
      <c r="J57" s="10" t="n">
        <f aca="false">IF(I57="","",I57*(1+Paramètres!$B$2))</f>
        <v>21.4848</v>
      </c>
      <c r="K57" s="10" t="n">
        <f aca="false">I57*0.1</f>
        <v>1.7904</v>
      </c>
      <c r="L57" s="10" t="n">
        <f aca="false">I57-K57-G57</f>
        <v>14.92</v>
      </c>
      <c r="M57" s="11" t="n">
        <f aca="false">L57/I57</f>
        <v>0.833333333333333</v>
      </c>
      <c r="N57" s="6"/>
      <c r="O57" s="10" t="n">
        <f aca="false">IF(J57="","",ROUNDUP(J57+0.01,0)-0.01)</f>
        <v>21.99</v>
      </c>
      <c r="P57" s="10" t="n">
        <f aca="false">IF(O57="","",O57/(1+Paramètres!$B$2))</f>
        <v>18.325</v>
      </c>
      <c r="Q57" s="10" t="n">
        <f aca="false">IF(P57="","",P57*0.1)</f>
        <v>1.8325</v>
      </c>
      <c r="R57" s="12" t="n">
        <v>1</v>
      </c>
    </row>
    <row r="58" customFormat="false" ht="15" hidden="false" customHeight="true" outlineLevel="0" collapsed="false">
      <c r="A58" s="6" t="s">
        <v>107</v>
      </c>
      <c r="B58" s="6" t="s">
        <v>97</v>
      </c>
      <c r="C58" s="6" t="s">
        <v>108</v>
      </c>
      <c r="D58" s="7" t="n">
        <v>60</v>
      </c>
      <c r="E58" s="7" t="n">
        <v>60</v>
      </c>
      <c r="F58" s="8" t="n">
        <f aca="false">D58*E58/10000</f>
        <v>0.36</v>
      </c>
      <c r="G58" s="9" t="n">
        <f aca="false">(F58*1.2*5.15+F58*1.28)</f>
        <v>2.6856</v>
      </c>
      <c r="H58" s="8" t="n">
        <f aca="false">H57</f>
        <v>15</v>
      </c>
      <c r="I58" s="1" t="n">
        <f aca="false">G58*H58</f>
        <v>40.284</v>
      </c>
      <c r="J58" s="10" t="n">
        <f aca="false">IF(I58="","",I58*(1+Paramètres!$B$2))</f>
        <v>48.3408</v>
      </c>
      <c r="K58" s="10" t="n">
        <f aca="false">I58*0.1</f>
        <v>4.0284</v>
      </c>
      <c r="L58" s="10" t="n">
        <f aca="false">I58-K58-G58</f>
        <v>33.57</v>
      </c>
      <c r="M58" s="11" t="n">
        <f aca="false">L58/I58</f>
        <v>0.833333333333333</v>
      </c>
      <c r="N58" s="6"/>
      <c r="O58" s="10" t="n">
        <f aca="false">IF(J58="","",ROUNDUP(J58+0.01,0)-0.01)</f>
        <v>48.99</v>
      </c>
      <c r="P58" s="10" t="n">
        <f aca="false">IF(O58="","",O58/(1+Paramètres!$B$2))</f>
        <v>40.825</v>
      </c>
      <c r="Q58" s="10" t="n">
        <f aca="false">IF(P58="","",P58*0.1)</f>
        <v>4.0825</v>
      </c>
      <c r="R58" s="12" t="n">
        <v>1</v>
      </c>
    </row>
    <row r="59" customFormat="false" ht="15" hidden="false" customHeight="true" outlineLevel="0" collapsed="false">
      <c r="A59" s="6" t="s">
        <v>109</v>
      </c>
      <c r="B59" s="6" t="s">
        <v>110</v>
      </c>
      <c r="C59" s="6" t="s">
        <v>98</v>
      </c>
      <c r="D59" s="7" t="n">
        <v>5</v>
      </c>
      <c r="E59" s="7" t="n">
        <v>5</v>
      </c>
      <c r="F59" s="8" t="n">
        <f aca="false">D59*E59/10000</f>
        <v>0.0025</v>
      </c>
      <c r="G59" s="9" t="n">
        <f aca="false">(F59*1.2*5.15+F59*1.28)</f>
        <v>0.01865</v>
      </c>
      <c r="H59" s="8" t="n">
        <f aca="false">H58</f>
        <v>15</v>
      </c>
      <c r="I59" s="1" t="n">
        <f aca="false">G59*H59</f>
        <v>0.27975</v>
      </c>
      <c r="J59" s="10" t="n">
        <f aca="false">IF(I59="","",I59*(1+Paramètres!$B$2))</f>
        <v>0.3357</v>
      </c>
      <c r="K59" s="10" t="n">
        <f aca="false">I59*0.1</f>
        <v>0.027975</v>
      </c>
      <c r="L59" s="10" t="n">
        <f aca="false">I59-K59-G59</f>
        <v>0.233125</v>
      </c>
      <c r="M59" s="11" t="n">
        <f aca="false">L59/I59</f>
        <v>0.833333333333333</v>
      </c>
      <c r="N59" s="6"/>
      <c r="O59" s="13" t="n">
        <v>0.49</v>
      </c>
      <c r="P59" s="10" t="n">
        <f aca="false">IF(O59="","",O59/(1+Paramètres!$B$2))</f>
        <v>0.408333333333333</v>
      </c>
      <c r="Q59" s="10" t="n">
        <f aca="false">IF(P59="","",P59*0.1)</f>
        <v>0.0408333333333333</v>
      </c>
      <c r="R59" s="12" t="n">
        <v>5</v>
      </c>
    </row>
    <row r="60" customFormat="false" ht="15" hidden="false" customHeight="true" outlineLevel="0" collapsed="false">
      <c r="A60" s="6" t="s">
        <v>111</v>
      </c>
      <c r="B60" s="6" t="s">
        <v>110</v>
      </c>
      <c r="C60" s="6" t="s">
        <v>100</v>
      </c>
      <c r="D60" s="7" t="n">
        <v>10</v>
      </c>
      <c r="E60" s="7" t="n">
        <v>10</v>
      </c>
      <c r="F60" s="8" t="n">
        <f aca="false">D60*E60/10000</f>
        <v>0.01</v>
      </c>
      <c r="G60" s="9" t="n">
        <f aca="false">(F60*1.2*5.15+F60*1.28)</f>
        <v>0.0746</v>
      </c>
      <c r="H60" s="8" t="n">
        <v>20</v>
      </c>
      <c r="I60" s="1" t="n">
        <f aca="false">G60*H60</f>
        <v>1.492</v>
      </c>
      <c r="J60" s="10" t="n">
        <f aca="false">IF(I60="","",I60*(1+Paramètres!$B$2))</f>
        <v>1.7904</v>
      </c>
      <c r="K60" s="10" t="n">
        <f aca="false">I60*0.1</f>
        <v>0.1492</v>
      </c>
      <c r="L60" s="10" t="n">
        <f aca="false">I60-K60-G60</f>
        <v>1.2682</v>
      </c>
      <c r="M60" s="11" t="n">
        <f aca="false">L60/I60</f>
        <v>0.85</v>
      </c>
      <c r="N60" s="6"/>
      <c r="O60" s="10" t="n">
        <f aca="false">IF(J60="","",ROUNDUP(J60+0.01,0)-0.01)</f>
        <v>1.99</v>
      </c>
      <c r="P60" s="10" t="n">
        <f aca="false">IF(O60="","",O60/(1+Paramètres!$B$2))</f>
        <v>1.65833333333333</v>
      </c>
      <c r="Q60" s="10" t="n">
        <f aca="false">IF(P60="","",P60*0.1)</f>
        <v>0.165833333333333</v>
      </c>
      <c r="R60" s="12" t="n">
        <v>1</v>
      </c>
    </row>
    <row r="61" customFormat="false" ht="15" hidden="false" customHeight="true" outlineLevel="0" collapsed="false">
      <c r="A61" s="6" t="s">
        <v>112</v>
      </c>
      <c r="B61" s="6" t="s">
        <v>110</v>
      </c>
      <c r="C61" s="6" t="s">
        <v>102</v>
      </c>
      <c r="D61" s="7" t="n">
        <v>20</v>
      </c>
      <c r="E61" s="7" t="n">
        <v>20</v>
      </c>
      <c r="F61" s="8" t="n">
        <f aca="false">D61*E61/10000</f>
        <v>0.04</v>
      </c>
      <c r="G61" s="9" t="n">
        <f aca="false">(F61*1.2*5.15+F61*1.28)</f>
        <v>0.2984</v>
      </c>
      <c r="H61" s="8" t="n">
        <v>20</v>
      </c>
      <c r="I61" s="1" t="n">
        <f aca="false">G61*H61</f>
        <v>5.968</v>
      </c>
      <c r="J61" s="10" t="n">
        <f aca="false">IF(I61="","",I61*(1+Paramètres!$B$2))</f>
        <v>7.1616</v>
      </c>
      <c r="K61" s="10" t="n">
        <f aca="false">I61*0.1</f>
        <v>0.5968</v>
      </c>
      <c r="L61" s="10" t="n">
        <f aca="false">I61-K61-G61</f>
        <v>5.0728</v>
      </c>
      <c r="M61" s="11" t="n">
        <f aca="false">L61/I61</f>
        <v>0.85</v>
      </c>
      <c r="N61" s="6"/>
      <c r="O61" s="10" t="n">
        <f aca="false">IF(J61="","",ROUNDUP(J61+0.01,0)-0.01)</f>
        <v>7.99</v>
      </c>
      <c r="P61" s="10" t="n">
        <f aca="false">IF(O61="","",O61/(1+Paramètres!$B$2))</f>
        <v>6.65833333333333</v>
      </c>
      <c r="Q61" s="10" t="n">
        <f aca="false">IF(P61="","",P61*0.1)</f>
        <v>0.665833333333334</v>
      </c>
      <c r="R61" s="12" t="n">
        <v>1</v>
      </c>
    </row>
    <row r="62" customFormat="false" ht="15" hidden="false" customHeight="true" outlineLevel="0" collapsed="false">
      <c r="A62" s="6" t="s">
        <v>113</v>
      </c>
      <c r="B62" s="6" t="s">
        <v>110</v>
      </c>
      <c r="C62" s="6" t="s">
        <v>104</v>
      </c>
      <c r="D62" s="7" t="n">
        <v>30</v>
      </c>
      <c r="E62" s="7" t="n">
        <v>30</v>
      </c>
      <c r="F62" s="8" t="n">
        <f aca="false">D62*E62/10000</f>
        <v>0.09</v>
      </c>
      <c r="G62" s="9" t="n">
        <f aca="false">(F62*1.2*5.15+F62*1.28)</f>
        <v>0.6714</v>
      </c>
      <c r="H62" s="8" t="n">
        <v>15</v>
      </c>
      <c r="I62" s="1" t="n">
        <f aca="false">G62*H62</f>
        <v>10.071</v>
      </c>
      <c r="J62" s="10" t="n">
        <f aca="false">IF(I62="","",I62*(1+Paramètres!$B$2))</f>
        <v>12.0852</v>
      </c>
      <c r="K62" s="10" t="n">
        <f aca="false">I62*0.1</f>
        <v>1.0071</v>
      </c>
      <c r="L62" s="10" t="n">
        <f aca="false">I62-K62-G62</f>
        <v>8.3925</v>
      </c>
      <c r="M62" s="11" t="n">
        <f aca="false">L62/I62</f>
        <v>0.833333333333333</v>
      </c>
      <c r="N62" s="6"/>
      <c r="O62" s="10" t="n">
        <f aca="false">IF(J62="","",ROUNDUP(J62+0.01,0)-0.01)</f>
        <v>12.99</v>
      </c>
      <c r="P62" s="10" t="n">
        <f aca="false">IF(O62="","",O62/(1+Paramètres!$B$2))</f>
        <v>10.825</v>
      </c>
      <c r="Q62" s="10" t="n">
        <f aca="false">IF(P62="","",P62*0.1)</f>
        <v>1.0825</v>
      </c>
      <c r="R62" s="12" t="n">
        <v>1</v>
      </c>
    </row>
    <row r="63" customFormat="false" ht="15" hidden="false" customHeight="true" outlineLevel="0" collapsed="false">
      <c r="A63" s="6" t="s">
        <v>114</v>
      </c>
      <c r="B63" s="6" t="s">
        <v>110</v>
      </c>
      <c r="C63" s="6" t="s">
        <v>106</v>
      </c>
      <c r="D63" s="7" t="n">
        <v>40</v>
      </c>
      <c r="E63" s="7" t="n">
        <v>40</v>
      </c>
      <c r="F63" s="8" t="n">
        <f aca="false">D63*E63/10000</f>
        <v>0.16</v>
      </c>
      <c r="G63" s="9" t="n">
        <f aca="false">(F63*1.2*5.15+F63*1.28)</f>
        <v>1.1936</v>
      </c>
      <c r="H63" s="8" t="n">
        <f aca="false">H62</f>
        <v>15</v>
      </c>
      <c r="I63" s="1" t="n">
        <f aca="false">G63*H63</f>
        <v>17.904</v>
      </c>
      <c r="J63" s="10" t="n">
        <f aca="false">IF(I63="","",I63*(1+Paramètres!$B$2))</f>
        <v>21.4848</v>
      </c>
      <c r="K63" s="10" t="n">
        <f aca="false">I63*0.1</f>
        <v>1.7904</v>
      </c>
      <c r="L63" s="10" t="n">
        <f aca="false">I63-K63-G63</f>
        <v>14.92</v>
      </c>
      <c r="M63" s="11" t="n">
        <f aca="false">L63/I63</f>
        <v>0.833333333333333</v>
      </c>
      <c r="N63" s="6"/>
      <c r="O63" s="10" t="n">
        <f aca="false">IF(J63="","",ROUNDUP(J63+0.01,0)-0.01)</f>
        <v>21.99</v>
      </c>
      <c r="P63" s="10" t="n">
        <f aca="false">IF(O63="","",O63/(1+Paramètres!$B$2))</f>
        <v>18.325</v>
      </c>
      <c r="Q63" s="10" t="n">
        <f aca="false">IF(P63="","",P63*0.1)</f>
        <v>1.8325</v>
      </c>
      <c r="R63" s="12" t="n">
        <v>1</v>
      </c>
    </row>
    <row r="64" customFormat="false" ht="15" hidden="false" customHeight="true" outlineLevel="0" collapsed="false">
      <c r="A64" s="6" t="s">
        <v>115</v>
      </c>
      <c r="B64" s="6" t="s">
        <v>110</v>
      </c>
      <c r="C64" s="6" t="s">
        <v>108</v>
      </c>
      <c r="D64" s="7" t="n">
        <v>60</v>
      </c>
      <c r="E64" s="7" t="n">
        <v>60</v>
      </c>
      <c r="F64" s="8" t="n">
        <f aca="false">D64*E64/10000</f>
        <v>0.36</v>
      </c>
      <c r="G64" s="9" t="n">
        <f aca="false">(F64*1.2*5.15+F64*1.28)</f>
        <v>2.6856</v>
      </c>
      <c r="H64" s="8" t="n">
        <f aca="false">H63</f>
        <v>15</v>
      </c>
      <c r="I64" s="1" t="n">
        <f aca="false">G64*H64</f>
        <v>40.284</v>
      </c>
      <c r="J64" s="10" t="n">
        <f aca="false">IF(I64="","",I64*(1+Paramètres!$B$2))</f>
        <v>48.3408</v>
      </c>
      <c r="K64" s="10" t="n">
        <f aca="false">I64*0.1</f>
        <v>4.0284</v>
      </c>
      <c r="L64" s="10" t="n">
        <f aca="false">I64-K64-G64</f>
        <v>33.57</v>
      </c>
      <c r="M64" s="11" t="n">
        <f aca="false">L64/I64</f>
        <v>0.833333333333333</v>
      </c>
      <c r="N64" s="6"/>
      <c r="O64" s="10" t="n">
        <f aca="false">IF(J64="","",ROUNDUP(J64+0.01,0)-0.01)</f>
        <v>48.99</v>
      </c>
      <c r="P64" s="10" t="n">
        <f aca="false">IF(O64="","",O64/(1+Paramètres!$B$2))</f>
        <v>40.825</v>
      </c>
      <c r="Q64" s="10" t="n">
        <f aca="false">IF(P64="","",P64*0.1)</f>
        <v>4.0825</v>
      </c>
      <c r="R64" s="12" t="n">
        <v>1</v>
      </c>
    </row>
    <row r="65" customFormat="false" ht="15" hidden="false" customHeight="true" outlineLevel="0" collapsed="false">
      <c r="A65" s="6" t="s">
        <v>116</v>
      </c>
      <c r="B65" s="6" t="s">
        <v>117</v>
      </c>
      <c r="C65" s="6" t="s">
        <v>98</v>
      </c>
      <c r="D65" s="7" t="n">
        <v>5</v>
      </c>
      <c r="E65" s="7" t="n">
        <v>5</v>
      </c>
      <c r="F65" s="8" t="n">
        <f aca="false">D65*E65/10000</f>
        <v>0.0025</v>
      </c>
      <c r="G65" s="9" t="n">
        <f aca="false">(F65*1.2*6.5+F65*1.28)</f>
        <v>0.0227</v>
      </c>
      <c r="H65" s="8" t="n">
        <f aca="false">H64</f>
        <v>15</v>
      </c>
      <c r="I65" s="1" t="n">
        <f aca="false">G65*H65</f>
        <v>0.3405</v>
      </c>
      <c r="J65" s="10" t="n">
        <f aca="false">IF(I65="","",I65*(1+Paramètres!$B$2))</f>
        <v>0.4086</v>
      </c>
      <c r="K65" s="10" t="n">
        <f aca="false">I65*0.1</f>
        <v>0.03405</v>
      </c>
      <c r="L65" s="10" t="n">
        <f aca="false">I65-K65-G65</f>
        <v>0.28375</v>
      </c>
      <c r="M65" s="11" t="n">
        <f aca="false">L65/I65</f>
        <v>0.833333333333333</v>
      </c>
      <c r="N65" s="6"/>
      <c r="O65" s="10" t="n">
        <f aca="false">IF(J65="","",ROUNDUP(J65+0.01,0)-0.01)</f>
        <v>0.99</v>
      </c>
      <c r="P65" s="10" t="n">
        <f aca="false">IF(O65="","",O65/(1+Paramètres!$B$2))</f>
        <v>0.825</v>
      </c>
      <c r="Q65" s="10" t="n">
        <f aca="false">IF(P65="","",P65*0.1)</f>
        <v>0.0825</v>
      </c>
      <c r="R65" s="12" t="n">
        <v>1</v>
      </c>
    </row>
    <row r="66" customFormat="false" ht="15" hidden="false" customHeight="true" outlineLevel="0" collapsed="false">
      <c r="A66" s="6" t="s">
        <v>118</v>
      </c>
      <c r="B66" s="6" t="s">
        <v>117</v>
      </c>
      <c r="C66" s="6" t="s">
        <v>100</v>
      </c>
      <c r="D66" s="7" t="n">
        <v>10</v>
      </c>
      <c r="E66" s="7" t="n">
        <v>10</v>
      </c>
      <c r="F66" s="8" t="n">
        <f aca="false">D66*E66/10000</f>
        <v>0.01</v>
      </c>
      <c r="G66" s="9" t="n">
        <f aca="false">(F66*1.2*6.5+F66*1.28)</f>
        <v>0.0908</v>
      </c>
      <c r="H66" s="8" t="n">
        <f aca="false">H65</f>
        <v>15</v>
      </c>
      <c r="I66" s="1" t="n">
        <f aca="false">G66*H66</f>
        <v>1.362</v>
      </c>
      <c r="J66" s="10" t="n">
        <f aca="false">IF(I66="","",I66*(1+Paramètres!$B$2))</f>
        <v>1.6344</v>
      </c>
      <c r="K66" s="10" t="n">
        <f aca="false">I66*0.1</f>
        <v>0.1362</v>
      </c>
      <c r="L66" s="10" t="n">
        <f aca="false">I66-K66-G66</f>
        <v>1.135</v>
      </c>
      <c r="M66" s="11" t="n">
        <f aca="false">L66/I66</f>
        <v>0.833333333333333</v>
      </c>
      <c r="N66" s="6"/>
      <c r="O66" s="10" t="n">
        <f aca="false">IF(J66="","",ROUNDUP(J66+0.01,0)-0.01)</f>
        <v>1.99</v>
      </c>
      <c r="P66" s="10" t="n">
        <f aca="false">IF(O66="","",O66/(1+Paramètres!$B$2))</f>
        <v>1.65833333333333</v>
      </c>
      <c r="Q66" s="10" t="n">
        <f aca="false">IF(P66="","",P66*0.1)</f>
        <v>0.165833333333333</v>
      </c>
      <c r="R66" s="12" t="n">
        <v>1</v>
      </c>
    </row>
    <row r="67" customFormat="false" ht="15" hidden="false" customHeight="true" outlineLevel="0" collapsed="false">
      <c r="A67" s="6" t="s">
        <v>119</v>
      </c>
      <c r="B67" s="6" t="s">
        <v>117</v>
      </c>
      <c r="C67" s="6" t="s">
        <v>102</v>
      </c>
      <c r="D67" s="7" t="n">
        <v>20</v>
      </c>
      <c r="E67" s="7" t="n">
        <v>20</v>
      </c>
      <c r="F67" s="8" t="n">
        <f aca="false">D67*E67/10000</f>
        <v>0.04</v>
      </c>
      <c r="G67" s="9" t="n">
        <f aca="false">(F67*1.2*6.5+F67*1.28)</f>
        <v>0.3632</v>
      </c>
      <c r="H67" s="8" t="n">
        <f aca="false">H66</f>
        <v>15</v>
      </c>
      <c r="I67" s="1" t="n">
        <f aca="false">G67*H67</f>
        <v>5.448</v>
      </c>
      <c r="J67" s="10" t="n">
        <f aca="false">IF(I67="","",I67*(1+Paramètres!$B$2))</f>
        <v>6.5376</v>
      </c>
      <c r="K67" s="10" t="n">
        <f aca="false">I67*0.1</f>
        <v>0.5448</v>
      </c>
      <c r="L67" s="10" t="n">
        <f aca="false">I67-K67-G67</f>
        <v>4.54</v>
      </c>
      <c r="M67" s="11" t="n">
        <f aca="false">L67/I67</f>
        <v>0.833333333333333</v>
      </c>
      <c r="N67" s="6"/>
      <c r="O67" s="10" t="n">
        <f aca="false">IF(J67="","",ROUNDUP(J67+0.01,0)-0.01)</f>
        <v>6.99</v>
      </c>
      <c r="P67" s="10" t="n">
        <f aca="false">IF(O67="","",O67/(1+Paramètres!$B$2))</f>
        <v>5.825</v>
      </c>
      <c r="Q67" s="10" t="n">
        <f aca="false">IF(P67="","",P67*0.1)</f>
        <v>0.5825</v>
      </c>
      <c r="R67" s="12" t="n">
        <v>1</v>
      </c>
    </row>
    <row r="68" customFormat="false" ht="15" hidden="false" customHeight="true" outlineLevel="0" collapsed="false">
      <c r="A68" s="6" t="s">
        <v>120</v>
      </c>
      <c r="B68" s="6" t="s">
        <v>117</v>
      </c>
      <c r="C68" s="6" t="s">
        <v>104</v>
      </c>
      <c r="D68" s="7" t="n">
        <v>30</v>
      </c>
      <c r="E68" s="7" t="n">
        <v>30</v>
      </c>
      <c r="F68" s="8" t="n">
        <f aca="false">D68*E68/10000</f>
        <v>0.09</v>
      </c>
      <c r="G68" s="9" t="n">
        <f aca="false">(F68*1.2*6.5+F68*1.28)</f>
        <v>0.8172</v>
      </c>
      <c r="H68" s="8" t="n">
        <f aca="false">H67</f>
        <v>15</v>
      </c>
      <c r="I68" s="1" t="n">
        <f aca="false">G68*H68</f>
        <v>12.258</v>
      </c>
      <c r="J68" s="10" t="n">
        <f aca="false">IF(I68="","",I68*(1+Paramètres!$B$2))</f>
        <v>14.7096</v>
      </c>
      <c r="K68" s="10" t="n">
        <f aca="false">I68*0.1</f>
        <v>1.2258</v>
      </c>
      <c r="L68" s="10" t="n">
        <f aca="false">I68-K68-G68</f>
        <v>10.215</v>
      </c>
      <c r="M68" s="11" t="n">
        <f aca="false">L68/I68</f>
        <v>0.833333333333333</v>
      </c>
      <c r="N68" s="6"/>
      <c r="O68" s="10" t="n">
        <f aca="false">IF(J68="","",ROUNDUP(J68+0.01,0)-0.01)</f>
        <v>14.99</v>
      </c>
      <c r="P68" s="10" t="n">
        <f aca="false">IF(O68="","",O68/(1+Paramètres!$B$2))</f>
        <v>12.4916666666667</v>
      </c>
      <c r="Q68" s="10" t="n">
        <f aca="false">IF(P68="","",P68*0.1)</f>
        <v>1.24916666666667</v>
      </c>
      <c r="R68" s="12" t="n">
        <v>1</v>
      </c>
    </row>
    <row r="69" customFormat="false" ht="15" hidden="false" customHeight="true" outlineLevel="0" collapsed="false">
      <c r="A69" s="6" t="s">
        <v>121</v>
      </c>
      <c r="B69" s="6" t="s">
        <v>117</v>
      </c>
      <c r="C69" s="6" t="s">
        <v>106</v>
      </c>
      <c r="D69" s="7" t="n">
        <v>40</v>
      </c>
      <c r="E69" s="7" t="n">
        <v>40</v>
      </c>
      <c r="F69" s="8" t="n">
        <f aca="false">D69*E69/10000</f>
        <v>0.16</v>
      </c>
      <c r="G69" s="9" t="n">
        <f aca="false">(F69*1.2*6.5+F69*1.28)</f>
        <v>1.4528</v>
      </c>
      <c r="H69" s="8" t="n">
        <f aca="false">H68</f>
        <v>15</v>
      </c>
      <c r="I69" s="1" t="n">
        <f aca="false">G69*H69</f>
        <v>21.792</v>
      </c>
      <c r="J69" s="10" t="n">
        <f aca="false">IF(I69="","",I69*(1+Paramètres!$B$2))</f>
        <v>26.1504</v>
      </c>
      <c r="K69" s="10" t="n">
        <f aca="false">I69*0.1</f>
        <v>2.1792</v>
      </c>
      <c r="L69" s="10" t="n">
        <f aca="false">I69-K69-G69</f>
        <v>18.16</v>
      </c>
      <c r="M69" s="11" t="n">
        <f aca="false">L69/I69</f>
        <v>0.833333333333333</v>
      </c>
      <c r="N69" s="6"/>
      <c r="O69" s="10" t="n">
        <f aca="false">IF(J69="","",ROUNDUP(J69+0.01,0)-0.01)</f>
        <v>26.99</v>
      </c>
      <c r="P69" s="10" t="n">
        <f aca="false">IF(O69="","",O69/(1+Paramètres!$B$2))</f>
        <v>22.4916666666667</v>
      </c>
      <c r="Q69" s="10" t="n">
        <f aca="false">IF(P69="","",P69*0.1)</f>
        <v>2.24916666666667</v>
      </c>
      <c r="R69" s="12" t="n">
        <v>1</v>
      </c>
    </row>
    <row r="70" customFormat="false" ht="15" hidden="false" customHeight="true" outlineLevel="0" collapsed="false">
      <c r="A70" s="6" t="s">
        <v>122</v>
      </c>
      <c r="B70" s="6" t="s">
        <v>117</v>
      </c>
      <c r="C70" s="6" t="s">
        <v>108</v>
      </c>
      <c r="D70" s="7" t="n">
        <v>60</v>
      </c>
      <c r="E70" s="7" t="n">
        <v>60</v>
      </c>
      <c r="F70" s="8" t="n">
        <f aca="false">D70*E70/10000</f>
        <v>0.36</v>
      </c>
      <c r="G70" s="9" t="n">
        <f aca="false">(F70*1.2*6.5+F70*1.28)</f>
        <v>3.2688</v>
      </c>
      <c r="H70" s="8" t="n">
        <f aca="false">H69</f>
        <v>15</v>
      </c>
      <c r="I70" s="1" t="n">
        <f aca="false">G70*H70</f>
        <v>49.032</v>
      </c>
      <c r="J70" s="10" t="n">
        <f aca="false">IF(I70="","",I70*(1+Paramètres!$B$2))</f>
        <v>58.8384</v>
      </c>
      <c r="K70" s="10" t="n">
        <f aca="false">I70*0.1</f>
        <v>4.9032</v>
      </c>
      <c r="L70" s="10" t="n">
        <f aca="false">I70-K70-G70</f>
        <v>40.86</v>
      </c>
      <c r="M70" s="11" t="n">
        <f aca="false">L70/I70</f>
        <v>0.833333333333333</v>
      </c>
      <c r="N70" s="6"/>
      <c r="O70" s="10" t="n">
        <f aca="false">IF(J70="","",ROUNDUP(J70+0.01,0)-0.01)</f>
        <v>58.99</v>
      </c>
      <c r="P70" s="10" t="n">
        <f aca="false">IF(O70="","",O70/(1+Paramètres!$B$2))</f>
        <v>49.1583333333333</v>
      </c>
      <c r="Q70" s="10" t="n">
        <f aca="false">IF(P70="","",P70*0.1)</f>
        <v>4.91583333333333</v>
      </c>
      <c r="R70" s="12" t="n">
        <v>1</v>
      </c>
    </row>
    <row r="71" customFormat="false" ht="15" hidden="false" customHeight="true" outlineLevel="0" collapsed="false">
      <c r="A71" s="6" t="s">
        <v>123</v>
      </c>
      <c r="B71" s="6" t="s">
        <v>124</v>
      </c>
      <c r="C71" s="6" t="s">
        <v>125</v>
      </c>
      <c r="D71" s="7" t="n">
        <v>29.7</v>
      </c>
      <c r="E71" s="7" t="n">
        <v>42</v>
      </c>
      <c r="F71" s="8" t="n">
        <f aca="false">D71*E71/10000</f>
        <v>0.12474</v>
      </c>
      <c r="G71" s="9" t="n">
        <f aca="false">(F71*1.3*0.81+F71*1.28)</f>
        <v>0.29101842</v>
      </c>
      <c r="H71" s="8" t="n">
        <v>20</v>
      </c>
      <c r="I71" s="1" t="n">
        <f aca="false">G71*H71</f>
        <v>5.8203684</v>
      </c>
      <c r="J71" s="10" t="n">
        <f aca="false">IF(I71="","",I71*(1+Paramètres!$B$2))</f>
        <v>6.98444208</v>
      </c>
      <c r="K71" s="10" t="n">
        <f aca="false">I71*0.1</f>
        <v>0.58203684</v>
      </c>
      <c r="L71" s="10" t="n">
        <f aca="false">I71-K71-G71</f>
        <v>4.94731314</v>
      </c>
      <c r="M71" s="11" t="n">
        <f aca="false">L71/I71</f>
        <v>0.85</v>
      </c>
      <c r="N71" s="6"/>
      <c r="O71" s="10" t="n">
        <f aca="false">IF(J71="","",ROUNDUP(J71+0.01,0)-0.01)</f>
        <v>6.99</v>
      </c>
      <c r="P71" s="10" t="n">
        <f aca="false">IF(O71="","",O71/(1+Paramètres!$B$2))</f>
        <v>5.825</v>
      </c>
      <c r="Q71" s="10" t="n">
        <f aca="false">IF(P71="","",P71*0.1)</f>
        <v>0.5825</v>
      </c>
      <c r="R71" s="12" t="n">
        <v>1</v>
      </c>
    </row>
    <row r="72" customFormat="false" ht="15" hidden="false" customHeight="true" outlineLevel="0" collapsed="false">
      <c r="A72" s="6" t="s">
        <v>126</v>
      </c>
      <c r="B72" s="6" t="s">
        <v>124</v>
      </c>
      <c r="C72" s="6" t="s">
        <v>127</v>
      </c>
      <c r="D72" s="7" t="n">
        <v>42</v>
      </c>
      <c r="E72" s="7" t="n">
        <v>59.4</v>
      </c>
      <c r="F72" s="8" t="n">
        <f aca="false">D72*E72/10000</f>
        <v>0.24948</v>
      </c>
      <c r="G72" s="9" t="n">
        <f aca="false">(F72*1.3*0.81+F72*1.28)</f>
        <v>0.58203684</v>
      </c>
      <c r="H72" s="8" t="n">
        <v>20</v>
      </c>
      <c r="I72" s="1" t="n">
        <f aca="false">G72*H72</f>
        <v>11.6407368</v>
      </c>
      <c r="J72" s="10" t="n">
        <f aca="false">IF(I72="","",I72*(1+Paramètres!$B$2))</f>
        <v>13.96888416</v>
      </c>
      <c r="K72" s="10" t="n">
        <f aca="false">I72*0.1</f>
        <v>1.16407368</v>
      </c>
      <c r="L72" s="10" t="n">
        <f aca="false">I72-K72-G72</f>
        <v>9.89462628</v>
      </c>
      <c r="M72" s="11" t="n">
        <f aca="false">L72/I72</f>
        <v>0.85</v>
      </c>
      <c r="N72" s="6"/>
      <c r="O72" s="10" t="n">
        <f aca="false">IF(J72="","",ROUNDUP(J72+0.01,0)-0.01)</f>
        <v>13.99</v>
      </c>
      <c r="P72" s="10" t="n">
        <f aca="false">IF(O72="","",O72/(1+Paramètres!$B$2))</f>
        <v>11.6583333333333</v>
      </c>
      <c r="Q72" s="10" t="n">
        <f aca="false">IF(P72="","",P72*0.1)</f>
        <v>1.16583333333333</v>
      </c>
      <c r="R72" s="12" t="n">
        <v>1</v>
      </c>
    </row>
    <row r="73" customFormat="false" ht="15" hidden="false" customHeight="true" outlineLevel="0" collapsed="false">
      <c r="A73" s="6" t="s">
        <v>128</v>
      </c>
      <c r="B73" s="6" t="s">
        <v>124</v>
      </c>
      <c r="C73" s="6" t="s">
        <v>129</v>
      </c>
      <c r="D73" s="7" t="n">
        <v>40</v>
      </c>
      <c r="E73" s="7" t="n">
        <v>60</v>
      </c>
      <c r="F73" s="8" t="n">
        <f aca="false">D73*E73/10000</f>
        <v>0.24</v>
      </c>
      <c r="G73" s="9" t="n">
        <f aca="false">(F73*1.3*0.81+F73*1.28)</f>
        <v>0.55992</v>
      </c>
      <c r="H73" s="8" t="n">
        <v>15</v>
      </c>
      <c r="I73" s="1" t="n">
        <f aca="false">G73*H73</f>
        <v>8.3988</v>
      </c>
      <c r="J73" s="10" t="n">
        <f aca="false">IF(I73="","",I73*(1+Paramètres!$B$2))</f>
        <v>10.07856</v>
      </c>
      <c r="K73" s="10" t="n">
        <f aca="false">I73*0.1</f>
        <v>0.83988</v>
      </c>
      <c r="L73" s="10" t="n">
        <f aca="false">I73-K73-G73</f>
        <v>6.999</v>
      </c>
      <c r="M73" s="11" t="n">
        <f aca="false">L73/I73</f>
        <v>0.833333333333333</v>
      </c>
      <c r="N73" s="6"/>
      <c r="O73" s="10" t="n">
        <f aca="false">IF(J73="","",ROUNDUP(J73+0.01,0)-0.01)</f>
        <v>10.99</v>
      </c>
      <c r="P73" s="10" t="n">
        <f aca="false">IF(O73="","",O73/(1+Paramètres!$B$2))</f>
        <v>9.15833333333333</v>
      </c>
      <c r="Q73" s="10" t="n">
        <f aca="false">IF(P73="","",P73*0.1)</f>
        <v>0.915833333333333</v>
      </c>
      <c r="R73" s="12" t="n">
        <v>1</v>
      </c>
    </row>
    <row r="74" customFormat="false" ht="15" hidden="false" customHeight="true" outlineLevel="0" collapsed="false">
      <c r="A74" s="6" t="s">
        <v>130</v>
      </c>
      <c r="B74" s="6" t="s">
        <v>124</v>
      </c>
      <c r="C74" s="6" t="s">
        <v>131</v>
      </c>
      <c r="D74" s="7" t="n">
        <v>50</v>
      </c>
      <c r="E74" s="7" t="n">
        <v>70</v>
      </c>
      <c r="F74" s="8" t="n">
        <f aca="false">D74*E74/10000</f>
        <v>0.35</v>
      </c>
      <c r="G74" s="9" t="n">
        <f aca="false">(F74*1.3*0.81+F74*1.28)</f>
        <v>0.81655</v>
      </c>
      <c r="H74" s="8" t="n">
        <f aca="false">H73</f>
        <v>15</v>
      </c>
      <c r="I74" s="1" t="n">
        <f aca="false">G74*H74</f>
        <v>12.24825</v>
      </c>
      <c r="J74" s="10" t="n">
        <f aca="false">IF(I74="","",I74*(1+Paramètres!$B$2))</f>
        <v>14.6979</v>
      </c>
      <c r="K74" s="10" t="n">
        <f aca="false">I74*0.1</f>
        <v>1.224825</v>
      </c>
      <c r="L74" s="10" t="n">
        <f aca="false">I74-K74-G74</f>
        <v>10.206875</v>
      </c>
      <c r="M74" s="11" t="n">
        <f aca="false">L74/I74</f>
        <v>0.833333333333334</v>
      </c>
      <c r="N74" s="6"/>
      <c r="O74" s="10" t="n">
        <f aca="false">IF(J74="","",ROUNDUP(J74+0.01,0)-0.01)</f>
        <v>14.99</v>
      </c>
      <c r="P74" s="10" t="n">
        <f aca="false">IF(O74="","",O74/(1+Paramètres!$B$2))</f>
        <v>12.4916666666667</v>
      </c>
      <c r="Q74" s="10" t="n">
        <f aca="false">IF(P74="","",P74*0.1)</f>
        <v>1.24916666666667</v>
      </c>
      <c r="R74" s="12" t="n">
        <v>1</v>
      </c>
    </row>
    <row r="75" customFormat="false" ht="15" hidden="false" customHeight="true" outlineLevel="0" collapsed="false">
      <c r="A75" s="6" t="s">
        <v>132</v>
      </c>
      <c r="B75" s="6" t="s">
        <v>124</v>
      </c>
      <c r="C75" s="6" t="s">
        <v>133</v>
      </c>
      <c r="D75" s="7" t="n">
        <v>60</v>
      </c>
      <c r="E75" s="7" t="n">
        <v>90</v>
      </c>
      <c r="F75" s="8" t="n">
        <f aca="false">D75*E75/10000</f>
        <v>0.54</v>
      </c>
      <c r="G75" s="9" t="n">
        <f aca="false">(F75*1.3*0.81+F75*1.28)</f>
        <v>1.25982</v>
      </c>
      <c r="H75" s="8" t="n">
        <f aca="false">H74</f>
        <v>15</v>
      </c>
      <c r="I75" s="1" t="n">
        <f aca="false">G75*H75</f>
        <v>18.8973</v>
      </c>
      <c r="J75" s="10" t="n">
        <f aca="false">IF(I75="","",I75*(1+Paramètres!$B$2))</f>
        <v>22.67676</v>
      </c>
      <c r="K75" s="10" t="n">
        <f aca="false">I75*0.1</f>
        <v>1.88973</v>
      </c>
      <c r="L75" s="10" t="n">
        <f aca="false">I75-K75-G75</f>
        <v>15.74775</v>
      </c>
      <c r="M75" s="11" t="n">
        <f aca="false">L75/I75</f>
        <v>0.833333333333333</v>
      </c>
      <c r="N75" s="6"/>
      <c r="O75" s="10" t="n">
        <f aca="false">IF(J75="","",ROUNDUP(J75+0.01,0)-0.01)</f>
        <v>22.99</v>
      </c>
      <c r="P75" s="10" t="n">
        <f aca="false">IF(O75="","",O75/(1+Paramètres!$B$2))</f>
        <v>19.1583333333333</v>
      </c>
      <c r="Q75" s="10" t="n">
        <f aca="false">IF(P75="","",P75*0.1)</f>
        <v>1.91583333333333</v>
      </c>
      <c r="R75" s="12" t="n">
        <v>1</v>
      </c>
    </row>
    <row r="76" customFormat="false" ht="15" hidden="false" customHeight="true" outlineLevel="0" collapsed="false">
      <c r="A76" s="6" t="s">
        <v>134</v>
      </c>
      <c r="B76" s="6" t="s">
        <v>135</v>
      </c>
      <c r="C76" s="6" t="s">
        <v>136</v>
      </c>
      <c r="D76" s="7" t="n">
        <v>20</v>
      </c>
      <c r="E76" s="7" t="n">
        <v>20</v>
      </c>
      <c r="F76" s="8" t="n">
        <f aca="false">D76*E76/10000</f>
        <v>0.04</v>
      </c>
      <c r="G76" s="9" t="n">
        <f aca="false">(F76*1.2*10.5+F76*1.35+F76*2)</f>
        <v>0.638</v>
      </c>
      <c r="H76" s="8" t="n">
        <v>20</v>
      </c>
      <c r="I76" s="1" t="n">
        <f aca="false">G76*H76</f>
        <v>12.76</v>
      </c>
      <c r="J76" s="10" t="n">
        <f aca="false">IF(I76="","",I76*(1+Paramètres!$B$2))</f>
        <v>15.312</v>
      </c>
      <c r="K76" s="10" t="n">
        <f aca="false">I76*0.1</f>
        <v>1.276</v>
      </c>
      <c r="L76" s="10" t="n">
        <f aca="false">I76-K76-G76</f>
        <v>10.846</v>
      </c>
      <c r="M76" s="11" t="n">
        <f aca="false">L76/I76</f>
        <v>0.85</v>
      </c>
      <c r="N76" s="6"/>
      <c r="O76" s="10" t="n">
        <f aca="false">IF(J76="","",ROUNDUP(J76+0.01,0)-0.01)</f>
        <v>15.99</v>
      </c>
      <c r="P76" s="10" t="n">
        <f aca="false">IF(O76="","",O76/(1+Paramètres!$B$2))</f>
        <v>13.325</v>
      </c>
      <c r="Q76" s="10" t="n">
        <f aca="false">IF(P76="","",P76*0.1)</f>
        <v>1.3325</v>
      </c>
      <c r="R76" s="12" t="n">
        <v>1</v>
      </c>
    </row>
    <row r="77" customFormat="false" ht="15" hidden="false" customHeight="true" outlineLevel="0" collapsed="false">
      <c r="A77" s="6" t="s">
        <v>137</v>
      </c>
      <c r="B77" s="6" t="s">
        <v>135</v>
      </c>
      <c r="C77" s="6" t="s">
        <v>138</v>
      </c>
      <c r="D77" s="7" t="n">
        <v>20</v>
      </c>
      <c r="E77" s="7" t="n">
        <v>30</v>
      </c>
      <c r="F77" s="8" t="n">
        <f aca="false">D77*E77/10000</f>
        <v>0.06</v>
      </c>
      <c r="G77" s="9" t="n">
        <f aca="false">(F77*1.2*10.5+F77*1.35+F77*2)</f>
        <v>0.957</v>
      </c>
      <c r="H77" s="8" t="n">
        <f aca="false">H76</f>
        <v>20</v>
      </c>
      <c r="I77" s="1" t="n">
        <f aca="false">G77*H77</f>
        <v>19.14</v>
      </c>
      <c r="J77" s="10" t="n">
        <f aca="false">IF(I77="","",I77*(1+Paramètres!$B$2))</f>
        <v>22.968</v>
      </c>
      <c r="K77" s="10" t="n">
        <f aca="false">I77*0.1</f>
        <v>1.914</v>
      </c>
      <c r="L77" s="10" t="n">
        <f aca="false">I77-K77-G77</f>
        <v>16.269</v>
      </c>
      <c r="M77" s="11" t="n">
        <f aca="false">L77/I77</f>
        <v>0.85</v>
      </c>
      <c r="N77" s="6"/>
      <c r="O77" s="10" t="n">
        <f aca="false">IF(J77="","",ROUNDUP(J77+0.01,0)-0.01)</f>
        <v>22.99</v>
      </c>
      <c r="P77" s="10" t="n">
        <f aca="false">IF(O77="","",O77/(1+Paramètres!$B$2))</f>
        <v>19.1583333333333</v>
      </c>
      <c r="Q77" s="10" t="n">
        <f aca="false">IF(P77="","",P77*0.1)</f>
        <v>1.91583333333333</v>
      </c>
      <c r="R77" s="12" t="n">
        <v>1</v>
      </c>
    </row>
    <row r="78" customFormat="false" ht="15" hidden="false" customHeight="true" outlineLevel="0" collapsed="false">
      <c r="A78" s="6" t="s">
        <v>139</v>
      </c>
      <c r="B78" s="6" t="s">
        <v>135</v>
      </c>
      <c r="C78" s="6" t="s">
        <v>140</v>
      </c>
      <c r="D78" s="7" t="n">
        <v>30</v>
      </c>
      <c r="E78" s="7" t="n">
        <v>40</v>
      </c>
      <c r="F78" s="8" t="n">
        <f aca="false">D78*E78/10000</f>
        <v>0.12</v>
      </c>
      <c r="G78" s="9" t="n">
        <f aca="false">(F78*1.2*10.5+F78*1.35+F78*2)</f>
        <v>1.914</v>
      </c>
      <c r="H78" s="8" t="n">
        <v>15</v>
      </c>
      <c r="I78" s="1" t="n">
        <f aca="false">G78*H78</f>
        <v>28.71</v>
      </c>
      <c r="J78" s="10" t="n">
        <f aca="false">IF(I78="","",I78*(1+Paramètres!$B$2))</f>
        <v>34.452</v>
      </c>
      <c r="K78" s="10" t="n">
        <f aca="false">I78*0.1</f>
        <v>2.871</v>
      </c>
      <c r="L78" s="10" t="n">
        <f aca="false">I78-K78-G78</f>
        <v>23.925</v>
      </c>
      <c r="M78" s="11" t="n">
        <f aca="false">L78/I78</f>
        <v>0.833333333333333</v>
      </c>
      <c r="N78" s="6"/>
      <c r="O78" s="10" t="n">
        <f aca="false">IF(J78="","",ROUNDUP(J78+0.01,0)-0.01)</f>
        <v>34.99</v>
      </c>
      <c r="P78" s="10" t="n">
        <f aca="false">IF(O78="","",O78/(1+Paramètres!$B$2))</f>
        <v>29.1583333333333</v>
      </c>
      <c r="Q78" s="10" t="n">
        <f aca="false">IF(P78="","",P78*0.1)</f>
        <v>2.91583333333333</v>
      </c>
      <c r="R78" s="12" t="n">
        <v>1</v>
      </c>
    </row>
    <row r="79" customFormat="false" ht="15" hidden="false" customHeight="true" outlineLevel="0" collapsed="false">
      <c r="A79" s="6" t="s">
        <v>141</v>
      </c>
      <c r="B79" s="6" t="s">
        <v>135</v>
      </c>
      <c r="C79" s="6" t="s">
        <v>129</v>
      </c>
      <c r="D79" s="7" t="n">
        <v>40</v>
      </c>
      <c r="E79" s="7" t="n">
        <v>60</v>
      </c>
      <c r="F79" s="8" t="n">
        <f aca="false">D79*E79/10000</f>
        <v>0.24</v>
      </c>
      <c r="G79" s="9" t="n">
        <f aca="false">(F79*1.2*10.5+F79*1.35+F79*2)</f>
        <v>3.828</v>
      </c>
      <c r="H79" s="8" t="n">
        <f aca="false">H78</f>
        <v>15</v>
      </c>
      <c r="I79" s="1" t="n">
        <f aca="false">G79*H79</f>
        <v>57.42</v>
      </c>
      <c r="J79" s="10" t="n">
        <f aca="false">IF(I79="","",I79*(1+Paramètres!$B$2))</f>
        <v>68.904</v>
      </c>
      <c r="K79" s="10" t="n">
        <f aca="false">I79*0.1</f>
        <v>5.742</v>
      </c>
      <c r="L79" s="10" t="n">
        <f aca="false">I79-K79-G79</f>
        <v>47.85</v>
      </c>
      <c r="M79" s="11" t="n">
        <f aca="false">L79/I79</f>
        <v>0.833333333333333</v>
      </c>
      <c r="N79" s="6"/>
      <c r="O79" s="10" t="n">
        <f aca="false">IF(J79="","",ROUNDUP(J79+0.01,0)-0.01)</f>
        <v>68.99</v>
      </c>
      <c r="P79" s="10" t="n">
        <f aca="false">IF(O79="","",O79/(1+Paramètres!$B$2))</f>
        <v>57.4916666666667</v>
      </c>
      <c r="Q79" s="10" t="n">
        <f aca="false">IF(P79="","",P79*0.1)</f>
        <v>5.74916666666667</v>
      </c>
      <c r="R79" s="12" t="n">
        <v>1</v>
      </c>
    </row>
    <row r="80" customFormat="false" ht="15" hidden="false" customHeight="true" outlineLevel="0" collapsed="false">
      <c r="A80" s="6" t="s">
        <v>142</v>
      </c>
      <c r="B80" s="6" t="s">
        <v>135</v>
      </c>
      <c r="C80" s="6" t="s">
        <v>133</v>
      </c>
      <c r="D80" s="7" t="n">
        <v>60</v>
      </c>
      <c r="E80" s="7" t="n">
        <v>90</v>
      </c>
      <c r="F80" s="8" t="n">
        <f aca="false">D80*E80/10000</f>
        <v>0.54</v>
      </c>
      <c r="G80" s="9" t="n">
        <f aca="false">(F80*1.2*10.5+F80*1.35+F80*2)</f>
        <v>8.613</v>
      </c>
      <c r="H80" s="8" t="n">
        <f aca="false">H79</f>
        <v>15</v>
      </c>
      <c r="I80" s="1" t="n">
        <f aca="false">G80*H80</f>
        <v>129.195</v>
      </c>
      <c r="J80" s="10" t="n">
        <f aca="false">IF(I80="","",I80*(1+Paramètres!$B$2))</f>
        <v>155.034</v>
      </c>
      <c r="K80" s="10" t="n">
        <f aca="false">I80*0.1</f>
        <v>12.9195</v>
      </c>
      <c r="L80" s="10" t="n">
        <f aca="false">I80-K80-G80</f>
        <v>107.6625</v>
      </c>
      <c r="M80" s="11" t="n">
        <f aca="false">L80/I80</f>
        <v>0.833333333333333</v>
      </c>
      <c r="N80" s="6"/>
      <c r="O80" s="10" t="n">
        <f aca="false">IF(J80="","",ROUNDUP(J80+0.01,0)-0.01)</f>
        <v>155.99</v>
      </c>
      <c r="P80" s="10" t="n">
        <f aca="false">IF(O80="","",O80/(1+Paramètres!$B$2))</f>
        <v>129.991666666667</v>
      </c>
      <c r="Q80" s="10" t="n">
        <f aca="false">IF(P80="","",P80*0.1)</f>
        <v>12.9991666666667</v>
      </c>
      <c r="R80" s="12" t="n">
        <v>1</v>
      </c>
    </row>
    <row r="81" customFormat="false" ht="15" hidden="false" customHeight="true" outlineLevel="0" collapsed="false">
      <c r="A81" s="6" t="s">
        <v>143</v>
      </c>
      <c r="B81" s="6" t="s">
        <v>135</v>
      </c>
      <c r="C81" s="6" t="s">
        <v>144</v>
      </c>
      <c r="D81" s="7" t="n">
        <v>80</v>
      </c>
      <c r="E81" s="7" t="n">
        <v>120</v>
      </c>
      <c r="F81" s="8" t="n">
        <f aca="false">D81*E81/10000</f>
        <v>0.96</v>
      </c>
      <c r="G81" s="9" t="n">
        <f aca="false">(F81*1.2*10.5+F81*1.35+F81*2)</f>
        <v>15.312</v>
      </c>
      <c r="H81" s="8" t="n">
        <f aca="false">H80</f>
        <v>15</v>
      </c>
      <c r="I81" s="1" t="n">
        <f aca="false">G81*H81</f>
        <v>229.68</v>
      </c>
      <c r="J81" s="10" t="n">
        <f aca="false">IF(I81="","",I81*(1+Paramètres!$B$2))</f>
        <v>275.616</v>
      </c>
      <c r="K81" s="10" t="n">
        <f aca="false">I81*0.1</f>
        <v>22.968</v>
      </c>
      <c r="L81" s="10" t="n">
        <f aca="false">I81-K81-G81</f>
        <v>191.4</v>
      </c>
      <c r="M81" s="11" t="n">
        <f aca="false">L81/I81</f>
        <v>0.833333333333333</v>
      </c>
      <c r="N81" s="6"/>
      <c r="O81" s="10" t="n">
        <f aca="false">IF(J81="","",ROUNDUP(J81+0.01,0)-0.01)</f>
        <v>275.99</v>
      </c>
      <c r="P81" s="10" t="n">
        <f aca="false">IF(O81="","",O81/(1+Paramètres!$B$2))</f>
        <v>229.991666666667</v>
      </c>
      <c r="Q81" s="10" t="n">
        <f aca="false">IF(P81="","",P81*0.1)</f>
        <v>22.9991666666667</v>
      </c>
      <c r="R81" s="12" t="n">
        <v>1</v>
      </c>
    </row>
    <row r="82" customFormat="false" ht="15" hidden="false" customHeight="true" outlineLevel="0" collapsed="false">
      <c r="A82" s="6" t="s">
        <v>145</v>
      </c>
      <c r="B82" s="6" t="s">
        <v>135</v>
      </c>
      <c r="C82" s="6" t="s">
        <v>146</v>
      </c>
      <c r="D82" s="7" t="n">
        <v>100</v>
      </c>
      <c r="E82" s="7" t="n">
        <v>150</v>
      </c>
      <c r="F82" s="8" t="n">
        <f aca="false">D82*E82/10000</f>
        <v>1.5</v>
      </c>
      <c r="G82" s="9" t="n">
        <f aca="false">(F82*1.2*10.5+F82*1.35+F82*2)</f>
        <v>23.925</v>
      </c>
      <c r="H82" s="8" t="n">
        <f aca="false">H81</f>
        <v>15</v>
      </c>
      <c r="I82" s="1" t="n">
        <f aca="false">G82*H82</f>
        <v>358.875</v>
      </c>
      <c r="J82" s="10" t="n">
        <f aca="false">IF(I82="","",I82*(1+Paramètres!$B$2))</f>
        <v>430.65</v>
      </c>
      <c r="K82" s="10" t="n">
        <f aca="false">I82*0.1</f>
        <v>35.8875</v>
      </c>
      <c r="L82" s="10" t="n">
        <f aca="false">I82-K82-G82</f>
        <v>299.0625</v>
      </c>
      <c r="M82" s="11" t="n">
        <f aca="false">L82/I82</f>
        <v>0.833333333333333</v>
      </c>
      <c r="N82" s="6"/>
      <c r="O82" s="10" t="n">
        <f aca="false">IF(J82="","",ROUNDUP(J82+0.01,0)-0.01)</f>
        <v>430.99</v>
      </c>
      <c r="P82" s="10" t="n">
        <f aca="false">IF(O82="","",O82/(1+Paramètres!$B$2))</f>
        <v>359.158333333333</v>
      </c>
      <c r="Q82" s="10" t="n">
        <f aca="false">IF(P82="","",P82*0.1)</f>
        <v>35.9158333333333</v>
      </c>
      <c r="R82" s="12" t="n">
        <v>1</v>
      </c>
    </row>
    <row r="84" customFormat="false" ht="15" hidden="false" customHeight="true" outlineLevel="0" collapsed="false">
      <c r="A84" s="14" t="s">
        <v>147</v>
      </c>
    </row>
  </sheetData>
  <autoFilter ref="A1:R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0"/>
    <col collapsed="false" customWidth="true" hidden="false" outlineLevel="0" max="3" min="3" style="1" width="60"/>
  </cols>
  <sheetData>
    <row r="1" customFormat="false" ht="15" hidden="false" customHeight="true" outlineLevel="0" collapsed="false">
      <c r="A1" s="15" t="s">
        <v>148</v>
      </c>
      <c r="B1" s="15" t="s">
        <v>149</v>
      </c>
    </row>
    <row r="2" customFormat="false" ht="15" hidden="false" customHeight="true" outlineLevel="0" collapsed="false">
      <c r="A2" s="3" t="s">
        <v>150</v>
      </c>
      <c r="B2" s="16" t="n">
        <v>0.2</v>
      </c>
      <c r="C2" s="3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4" activeCellId="0" sqref="F4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1"/>
    <col collapsed="false" customWidth="true" hidden="false" outlineLevel="0" max="3" min="3" style="1" width="22"/>
    <col collapsed="false" customWidth="true" hidden="false" outlineLevel="0" max="4" min="4" style="1" width="30"/>
    <col collapsed="false" customWidth="true" hidden="false" outlineLevel="0" max="6" min="5" style="1" width="18"/>
  </cols>
  <sheetData>
    <row r="1" customFormat="false" ht="15" hidden="false" customHeight="true" outlineLevel="0" collapsed="false">
      <c r="A1" s="17" t="s">
        <v>8</v>
      </c>
      <c r="B1" s="17" t="s">
        <v>152</v>
      </c>
      <c r="C1" s="17"/>
      <c r="D1" s="17" t="s">
        <v>153</v>
      </c>
      <c r="E1" s="17" t="s">
        <v>154</v>
      </c>
      <c r="F1" s="17" t="s">
        <v>155</v>
      </c>
    </row>
    <row r="2" customFormat="false" ht="15" hidden="false" customHeight="true" outlineLevel="0" collapsed="false">
      <c r="A2" s="18" t="s">
        <v>156</v>
      </c>
      <c r="B2" s="18"/>
      <c r="C2" s="18"/>
      <c r="D2" s="18" t="s">
        <v>157</v>
      </c>
      <c r="E2" s="19" t="s">
        <v>158</v>
      </c>
      <c r="F2" s="9" t="n">
        <v>4.5</v>
      </c>
    </row>
    <row r="3" customFormat="false" ht="15" hidden="false" customHeight="true" outlineLevel="0" collapsed="false">
      <c r="A3" s="18" t="s">
        <v>156</v>
      </c>
      <c r="B3" s="18"/>
      <c r="C3" s="18"/>
      <c r="D3" s="18" t="s">
        <v>159</v>
      </c>
      <c r="E3" s="18" t="s">
        <v>159</v>
      </c>
      <c r="F3" s="9" t="n">
        <v>7.5</v>
      </c>
    </row>
    <row r="4" customFormat="false" ht="15" hidden="false" customHeight="true" outlineLevel="0" collapsed="false">
      <c r="A4" s="18" t="s">
        <v>135</v>
      </c>
      <c r="B4" s="20" t="s">
        <v>160</v>
      </c>
      <c r="C4" s="6" t="s">
        <v>136</v>
      </c>
      <c r="D4" s="18" t="s">
        <v>161</v>
      </c>
      <c r="E4" s="19" t="s">
        <v>162</v>
      </c>
      <c r="F4" s="9" t="n">
        <v>10</v>
      </c>
    </row>
    <row r="5" customFormat="false" ht="15" hidden="false" customHeight="true" outlineLevel="0" collapsed="false">
      <c r="A5" s="18" t="s">
        <v>135</v>
      </c>
      <c r="B5" s="20" t="s">
        <v>163</v>
      </c>
      <c r="C5" s="6" t="s">
        <v>138</v>
      </c>
      <c r="D5" s="18" t="s">
        <v>161</v>
      </c>
      <c r="E5" s="19" t="s">
        <v>162</v>
      </c>
      <c r="F5" s="9" t="n">
        <v>10</v>
      </c>
    </row>
    <row r="6" customFormat="false" ht="15" hidden="false" customHeight="true" outlineLevel="0" collapsed="false">
      <c r="A6" s="18" t="s">
        <v>135</v>
      </c>
      <c r="B6" s="20" t="s">
        <v>164</v>
      </c>
      <c r="C6" s="6" t="s">
        <v>140</v>
      </c>
      <c r="D6" s="18" t="s">
        <v>161</v>
      </c>
      <c r="E6" s="19" t="s">
        <v>162</v>
      </c>
      <c r="F6" s="9" t="n">
        <v>10</v>
      </c>
    </row>
    <row r="7" customFormat="false" ht="15" hidden="false" customHeight="true" outlineLevel="0" collapsed="false">
      <c r="A7" s="18" t="s">
        <v>135</v>
      </c>
      <c r="B7" s="20" t="s">
        <v>165</v>
      </c>
      <c r="C7" s="6" t="s">
        <v>129</v>
      </c>
      <c r="D7" s="18" t="s">
        <v>161</v>
      </c>
      <c r="E7" s="19" t="s">
        <v>162</v>
      </c>
      <c r="F7" s="9" t="n">
        <v>15</v>
      </c>
    </row>
    <row r="8" customFormat="false" ht="15" hidden="false" customHeight="true" outlineLevel="0" collapsed="false">
      <c r="A8" s="18" t="s">
        <v>135</v>
      </c>
      <c r="B8" s="20" t="s">
        <v>166</v>
      </c>
      <c r="C8" s="6" t="s">
        <v>133</v>
      </c>
      <c r="D8" s="18" t="s">
        <v>161</v>
      </c>
      <c r="E8" s="19" t="s">
        <v>162</v>
      </c>
      <c r="F8" s="9" t="n">
        <v>15</v>
      </c>
    </row>
    <row r="9" customFormat="false" ht="15" hidden="false" customHeight="true" outlineLevel="0" collapsed="false">
      <c r="A9" s="18" t="s">
        <v>135</v>
      </c>
      <c r="B9" s="20" t="s">
        <v>167</v>
      </c>
      <c r="C9" s="6" t="s">
        <v>144</v>
      </c>
      <c r="D9" s="18" t="s">
        <v>161</v>
      </c>
      <c r="E9" s="19" t="s">
        <v>162</v>
      </c>
      <c r="F9" s="9" t="n">
        <v>15</v>
      </c>
    </row>
    <row r="10" customFormat="false" ht="15" hidden="false" customHeight="true" outlineLevel="0" collapsed="false">
      <c r="A10" s="18" t="s">
        <v>135</v>
      </c>
      <c r="B10" s="20" t="s">
        <v>168</v>
      </c>
      <c r="C10" s="6" t="s">
        <v>146</v>
      </c>
      <c r="D10" s="18" t="s">
        <v>161</v>
      </c>
      <c r="E10" s="19" t="s">
        <v>162</v>
      </c>
      <c r="F10" s="9" t="n">
        <v>15</v>
      </c>
    </row>
    <row r="11" customFormat="false" ht="15" hidden="false" customHeight="true" outlineLevel="0" collapsed="false">
      <c r="A11" s="18" t="s">
        <v>135</v>
      </c>
      <c r="B11" s="6" t="s">
        <v>169</v>
      </c>
      <c r="C11" s="6" t="s">
        <v>136</v>
      </c>
      <c r="D11" s="18" t="s">
        <v>170</v>
      </c>
      <c r="E11" s="19"/>
      <c r="F11" s="9" t="n">
        <v>15</v>
      </c>
    </row>
    <row r="12" customFormat="false" ht="15" hidden="false" customHeight="true" outlineLevel="0" collapsed="false">
      <c r="A12" s="18" t="s">
        <v>135</v>
      </c>
      <c r="B12" s="6" t="s">
        <v>169</v>
      </c>
      <c r="C12" s="6" t="s">
        <v>138</v>
      </c>
      <c r="D12" s="18" t="s">
        <v>170</v>
      </c>
      <c r="E12" s="19"/>
      <c r="F12" s="9" t="n">
        <v>15</v>
      </c>
    </row>
    <row r="13" customFormat="false" ht="15" hidden="false" customHeight="true" outlineLevel="0" collapsed="false">
      <c r="A13" s="18" t="s">
        <v>135</v>
      </c>
      <c r="B13" s="6" t="s">
        <v>169</v>
      </c>
      <c r="C13" s="6" t="s">
        <v>140</v>
      </c>
      <c r="D13" s="18" t="s">
        <v>170</v>
      </c>
      <c r="E13" s="19"/>
      <c r="F13" s="9" t="n">
        <v>15</v>
      </c>
    </row>
    <row r="14" customFormat="false" ht="15" hidden="false" customHeight="true" outlineLevel="0" collapsed="false">
      <c r="A14" s="18" t="s">
        <v>135</v>
      </c>
      <c r="B14" s="6" t="s">
        <v>169</v>
      </c>
      <c r="C14" s="6" t="s">
        <v>129</v>
      </c>
      <c r="D14" s="18" t="s">
        <v>170</v>
      </c>
      <c r="E14" s="19"/>
      <c r="F14" s="9" t="n">
        <v>15</v>
      </c>
    </row>
    <row r="15" customFormat="false" ht="15" hidden="false" customHeight="true" outlineLevel="0" collapsed="false">
      <c r="A15" s="18" t="s">
        <v>135</v>
      </c>
      <c r="B15" s="6" t="s">
        <v>169</v>
      </c>
      <c r="C15" s="6" t="s">
        <v>133</v>
      </c>
      <c r="D15" s="18" t="s">
        <v>170</v>
      </c>
      <c r="E15" s="19"/>
      <c r="F15" s="9" t="n">
        <v>15</v>
      </c>
    </row>
    <row r="16" customFormat="false" ht="15" hidden="false" customHeight="true" outlineLevel="0" collapsed="false">
      <c r="A16" s="18" t="s">
        <v>135</v>
      </c>
      <c r="B16" s="6" t="s">
        <v>169</v>
      </c>
      <c r="C16" s="6" t="s">
        <v>144</v>
      </c>
      <c r="D16" s="18" t="s">
        <v>170</v>
      </c>
      <c r="F16" s="9" t="n">
        <v>15</v>
      </c>
    </row>
    <row r="17" customFormat="false" ht="15" hidden="false" customHeight="true" outlineLevel="0" collapsed="false">
      <c r="A17" s="18" t="s">
        <v>135</v>
      </c>
      <c r="B17" s="6" t="s">
        <v>169</v>
      </c>
      <c r="C17" s="6" t="s">
        <v>146</v>
      </c>
      <c r="D17" s="18" t="s">
        <v>170</v>
      </c>
      <c r="F17" s="9" t="n">
        <v>15</v>
      </c>
    </row>
    <row r="18" customFormat="false" ht="15" hidden="false" customHeight="true" outlineLevel="0" collapsed="false">
      <c r="A18" s="18" t="s">
        <v>135</v>
      </c>
      <c r="B18" s="6" t="s">
        <v>171</v>
      </c>
      <c r="C18" s="6" t="s">
        <v>136</v>
      </c>
      <c r="D18" s="18" t="s">
        <v>172</v>
      </c>
      <c r="F18" s="9" t="n">
        <v>15</v>
      </c>
    </row>
    <row r="19" customFormat="false" ht="15" hidden="false" customHeight="true" outlineLevel="0" collapsed="false">
      <c r="A19" s="18" t="s">
        <v>135</v>
      </c>
      <c r="B19" s="6" t="s">
        <v>171</v>
      </c>
      <c r="C19" s="6" t="s">
        <v>138</v>
      </c>
      <c r="D19" s="18" t="s">
        <v>172</v>
      </c>
      <c r="F19" s="9" t="n">
        <v>15</v>
      </c>
    </row>
    <row r="20" customFormat="false" ht="15" hidden="false" customHeight="true" outlineLevel="0" collapsed="false">
      <c r="A20" s="18" t="s">
        <v>135</v>
      </c>
      <c r="B20" s="6" t="s">
        <v>171</v>
      </c>
      <c r="C20" s="6" t="s">
        <v>140</v>
      </c>
      <c r="D20" s="18" t="s">
        <v>172</v>
      </c>
      <c r="F20" s="9" t="n">
        <v>15</v>
      </c>
    </row>
    <row r="21" customFormat="false" ht="15" hidden="false" customHeight="true" outlineLevel="0" collapsed="false">
      <c r="A21" s="18" t="s">
        <v>135</v>
      </c>
      <c r="B21" s="6" t="s">
        <v>171</v>
      </c>
      <c r="C21" s="6" t="s">
        <v>129</v>
      </c>
      <c r="D21" s="18" t="s">
        <v>172</v>
      </c>
      <c r="F21" s="9" t="n">
        <v>15</v>
      </c>
    </row>
    <row r="22" customFormat="false" ht="15" hidden="false" customHeight="true" outlineLevel="0" collapsed="false">
      <c r="A22" s="18" t="s">
        <v>135</v>
      </c>
      <c r="B22" s="6" t="s">
        <v>171</v>
      </c>
      <c r="C22" s="6" t="s">
        <v>133</v>
      </c>
      <c r="D22" s="18" t="s">
        <v>172</v>
      </c>
      <c r="F22" s="9" t="n">
        <v>15</v>
      </c>
    </row>
    <row r="23" customFormat="false" ht="15" hidden="false" customHeight="true" outlineLevel="0" collapsed="false">
      <c r="A23" s="18" t="s">
        <v>135</v>
      </c>
      <c r="B23" s="6" t="s">
        <v>171</v>
      </c>
      <c r="C23" s="6" t="s">
        <v>144</v>
      </c>
      <c r="D23" s="18" t="s">
        <v>172</v>
      </c>
      <c r="F23" s="9" t="n">
        <v>15</v>
      </c>
    </row>
    <row r="24" customFormat="false" ht="15" hidden="false" customHeight="true" outlineLevel="0" collapsed="false">
      <c r="A24" s="18" t="s">
        <v>135</v>
      </c>
      <c r="B24" s="6" t="s">
        <v>171</v>
      </c>
      <c r="C24" s="6" t="s">
        <v>146</v>
      </c>
      <c r="D24" s="18" t="s">
        <v>172</v>
      </c>
      <c r="F24" s="9" t="n">
        <v>15</v>
      </c>
    </row>
  </sheetData>
  <dataValidations count="1">
    <dataValidation allowBlank="true" errorStyle="stop" operator="between" showDropDown="false" showErrorMessage="false" showInputMessage="false" sqref="E2 E4:E15" type="list">
      <formula1>"Incluse,Option payante"</formula1>
      <formula2>0</formula2>
    </dataValidation>
  </dataValidations>
  <hyperlinks>
    <hyperlink ref="B4" r:id="rId1" display="frame.board_châssis.15"/>
    <hyperlink ref="B5" r:id="rId2" display="frame.board_châssis.16"/>
    <hyperlink ref="B6" r:id="rId3" display="frame.board_châssis.17"/>
    <hyperlink ref="B7" r:id="rId4" display="frame.board_châssis.18"/>
    <hyperlink ref="B8" r:id="rId5" display="frame.board_châssis.19"/>
    <hyperlink ref="B9" r:id="rId6" display="frame.board_châssis.20"/>
    <hyperlink ref="B10" r:id="rId7" display="frame.board_châssis.2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2026-10-05T15:38:06Z</dcterms:created>
  <dc:creator>openpyxl</dc:creator>
  <dc:description/>
  <dc:language>en-US</dc:language>
  <cp:lastModifiedBy>Laurent HERCZ</cp:lastModifiedBy>
  <dcterms:modified xsi:type="dcterms:W3CDTF">2026-10-06T13:17:26Z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